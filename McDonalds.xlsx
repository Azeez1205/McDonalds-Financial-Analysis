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f74f339ded19ce6/Documents/"/>
    </mc:Choice>
  </mc:AlternateContent>
  <xr:revisionPtr revIDLastSave="32" documentId="8_{15051BCC-FEB2-4F0D-BFCA-AF86325A4F30}" xr6:coauthVersionLast="47" xr6:coauthVersionMax="47" xr10:uidLastSave="{B699798A-501D-441A-AB42-0D46FA133D93}"/>
  <bookViews>
    <workbookView xWindow="-120" yWindow="-120" windowWidth="20730" windowHeight="11040" xr2:uid="{D7D46332-35C1-46F6-8B77-F30C5D2B68F4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20" i="1" l="1"/>
  <c r="G120" i="1"/>
  <c r="G121" i="1" s="1"/>
  <c r="Z39" i="1"/>
  <c r="Z42" i="1"/>
  <c r="Z40" i="1"/>
  <c r="Q48" i="1"/>
  <c r="Q47" i="1"/>
  <c r="Q49" i="1" s="1"/>
  <c r="R47" i="1" s="1"/>
  <c r="R44" i="1"/>
  <c r="R40" i="1"/>
  <c r="S23" i="1"/>
  <c r="T23" i="1"/>
  <c r="U23" i="1"/>
  <c r="I84" i="1"/>
  <c r="J84" i="1" s="1"/>
  <c r="I85" i="1"/>
  <c r="J85" i="1" s="1"/>
  <c r="I86" i="1"/>
  <c r="J86" i="1" s="1"/>
  <c r="I89" i="1"/>
  <c r="J89" i="1" s="1"/>
  <c r="K89" i="1" s="1"/>
  <c r="I90" i="1"/>
  <c r="J90" i="1" s="1"/>
  <c r="I91" i="1"/>
  <c r="J91" i="1" s="1"/>
  <c r="K91" i="1" s="1"/>
  <c r="I93" i="1"/>
  <c r="J93" i="1" s="1"/>
  <c r="K93" i="1" s="1"/>
  <c r="I95" i="1"/>
  <c r="I96" i="1"/>
  <c r="J96" i="1" s="1"/>
  <c r="I97" i="1"/>
  <c r="J97" i="1" s="1"/>
  <c r="I100" i="1"/>
  <c r="J100" i="1" s="1"/>
  <c r="K100" i="1" s="1"/>
  <c r="I101" i="1"/>
  <c r="J101" i="1" s="1"/>
  <c r="I102" i="1"/>
  <c r="J102" i="1" s="1"/>
  <c r="I103" i="1"/>
  <c r="J103" i="1" s="1"/>
  <c r="I104" i="1"/>
  <c r="J104" i="1" s="1"/>
  <c r="K104" i="1" s="1"/>
  <c r="I105" i="1"/>
  <c r="J105" i="1" s="1"/>
  <c r="K105" i="1" s="1"/>
  <c r="I107" i="1"/>
  <c r="J107" i="1" s="1"/>
  <c r="K107" i="1" s="1"/>
  <c r="I108" i="1"/>
  <c r="J108" i="1" s="1"/>
  <c r="K108" i="1" s="1"/>
  <c r="I109" i="1"/>
  <c r="J109" i="1" s="1"/>
  <c r="I110" i="1"/>
  <c r="J110" i="1" s="1"/>
  <c r="I111" i="1"/>
  <c r="I112" i="1"/>
  <c r="J112" i="1" s="1"/>
  <c r="I114" i="1"/>
  <c r="I115" i="1"/>
  <c r="I116" i="1"/>
  <c r="J116" i="1" s="1"/>
  <c r="I117" i="1"/>
  <c r="J117" i="1" s="1"/>
  <c r="K117" i="1" s="1"/>
  <c r="I118" i="1"/>
  <c r="J118" i="1" s="1"/>
  <c r="I119" i="1"/>
  <c r="J119" i="1" s="1"/>
  <c r="I83" i="1"/>
  <c r="J83" i="1" s="1"/>
  <c r="I76" i="1"/>
  <c r="J76" i="1" s="1"/>
  <c r="I72" i="1"/>
  <c r="J72" i="1" s="1"/>
  <c r="I73" i="1"/>
  <c r="J73" i="1" s="1"/>
  <c r="K73" i="1" s="1"/>
  <c r="I74" i="1"/>
  <c r="J74" i="1" s="1"/>
  <c r="K74" i="1" s="1"/>
  <c r="I71" i="1"/>
  <c r="J71" i="1" s="1"/>
  <c r="K71" i="1" s="1"/>
  <c r="I65" i="1"/>
  <c r="J65" i="1" s="1"/>
  <c r="I66" i="1"/>
  <c r="J66" i="1" s="1"/>
  <c r="I67" i="1"/>
  <c r="J67" i="1" s="1"/>
  <c r="I68" i="1"/>
  <c r="J68" i="1" s="1"/>
  <c r="I69" i="1"/>
  <c r="J69" i="1" s="1"/>
  <c r="I64" i="1"/>
  <c r="J64" i="1" s="1"/>
  <c r="I59" i="1"/>
  <c r="J59" i="1" s="1"/>
  <c r="I60" i="1"/>
  <c r="J60" i="1" s="1"/>
  <c r="K60" i="1" s="1"/>
  <c r="I58" i="1"/>
  <c r="J58" i="1" s="1"/>
  <c r="K58" i="1" s="1"/>
  <c r="I56" i="1"/>
  <c r="J56" i="1" s="1"/>
  <c r="K56" i="1" s="1"/>
  <c r="L56" i="1" s="1"/>
  <c r="M56" i="1" s="1"/>
  <c r="K55" i="1"/>
  <c r="X23" i="1" s="1"/>
  <c r="L55" i="1"/>
  <c r="Y23" i="1" s="1"/>
  <c r="M55" i="1"/>
  <c r="Z23" i="1" s="1"/>
  <c r="J55" i="1"/>
  <c r="W23" i="1" s="1"/>
  <c r="I55" i="1"/>
  <c r="F11" i="1"/>
  <c r="G11" i="1"/>
  <c r="H11" i="1"/>
  <c r="F13" i="1"/>
  <c r="G13" i="1"/>
  <c r="H13" i="1"/>
  <c r="I80" i="1"/>
  <c r="J80" i="1" s="1"/>
  <c r="K80" i="1" s="1"/>
  <c r="L80" i="1" s="1"/>
  <c r="M80" i="1" s="1"/>
  <c r="G80" i="1"/>
  <c r="H106" i="1"/>
  <c r="G106" i="1"/>
  <c r="H92" i="1"/>
  <c r="G92" i="1"/>
  <c r="H87" i="1"/>
  <c r="G87" i="1"/>
  <c r="H70" i="1"/>
  <c r="G70" i="1"/>
  <c r="F70" i="1"/>
  <c r="G61" i="1"/>
  <c r="H61" i="1"/>
  <c r="F61" i="1"/>
  <c r="I44" i="1"/>
  <c r="J44" i="1" s="1"/>
  <c r="I45" i="1"/>
  <c r="J45" i="1" s="1"/>
  <c r="I46" i="1"/>
  <c r="J46" i="1" s="1"/>
  <c r="I48" i="1"/>
  <c r="J48" i="1" s="1"/>
  <c r="I49" i="1"/>
  <c r="J49" i="1" s="1"/>
  <c r="I50" i="1"/>
  <c r="J50" i="1" s="1"/>
  <c r="I51" i="1"/>
  <c r="J51" i="1" s="1"/>
  <c r="I52" i="1"/>
  <c r="J52" i="1" s="1"/>
  <c r="G43" i="1"/>
  <c r="H43" i="1"/>
  <c r="F43" i="1"/>
  <c r="G42" i="1"/>
  <c r="G23" i="1" s="1"/>
  <c r="H42" i="1"/>
  <c r="H23" i="1" s="1"/>
  <c r="F42" i="1"/>
  <c r="F23" i="1" s="1"/>
  <c r="I26" i="1"/>
  <c r="J26" i="1" s="1"/>
  <c r="K26" i="1" s="1"/>
  <c r="L26" i="1" s="1"/>
  <c r="M26" i="1" s="1"/>
  <c r="G26" i="1"/>
  <c r="F26" i="1" s="1"/>
  <c r="I38" i="1"/>
  <c r="J38" i="1" s="1"/>
  <c r="K38" i="1" s="1"/>
  <c r="L38" i="1" s="1"/>
  <c r="M38" i="1" s="1"/>
  <c r="G38" i="1"/>
  <c r="F38" i="1" s="1"/>
  <c r="U28" i="1"/>
  <c r="T28" i="1"/>
  <c r="V26" i="1"/>
  <c r="W26" i="1" s="1"/>
  <c r="V10" i="1"/>
  <c r="W10" i="1"/>
  <c r="X10" i="1"/>
  <c r="Y10" i="1"/>
  <c r="Z10" i="1"/>
  <c r="S10" i="1"/>
  <c r="V8" i="1"/>
  <c r="W8" i="1" s="1"/>
  <c r="X8" i="1" s="1"/>
  <c r="Y8" i="1" s="1"/>
  <c r="Z8" i="1" s="1"/>
  <c r="S36" i="1" s="1"/>
  <c r="T8" i="1"/>
  <c r="S8" i="1" s="1"/>
  <c r="G17" i="1"/>
  <c r="H17" i="1"/>
  <c r="G16" i="1"/>
  <c r="H16" i="1"/>
  <c r="G14" i="1"/>
  <c r="H14" i="1"/>
  <c r="F16" i="1"/>
  <c r="F14" i="1"/>
  <c r="F17" i="1"/>
  <c r="F19" i="1"/>
  <c r="S15" i="1" s="1"/>
  <c r="G19" i="1"/>
  <c r="T15" i="1" s="1"/>
  <c r="H19" i="1"/>
  <c r="U15" i="1" s="1"/>
  <c r="H10" i="1"/>
  <c r="G10" i="1"/>
  <c r="T9" i="1" s="1"/>
  <c r="F10" i="1"/>
  <c r="I8" i="1"/>
  <c r="J8" i="1" s="1"/>
  <c r="K8" i="1" s="1"/>
  <c r="L8" i="1" s="1"/>
  <c r="M8" i="1" s="1"/>
  <c r="G8" i="1"/>
  <c r="F8" i="1" s="1"/>
  <c r="H121" i="1" l="1"/>
  <c r="I120" i="1"/>
  <c r="W36" i="1"/>
  <c r="G98" i="1"/>
  <c r="F12" i="1"/>
  <c r="H12" i="1"/>
  <c r="K49" i="1"/>
  <c r="L49" i="1" s="1"/>
  <c r="I61" i="1"/>
  <c r="J114" i="1"/>
  <c r="L108" i="1"/>
  <c r="M108" i="1" s="1"/>
  <c r="K103" i="1"/>
  <c r="L103" i="1" s="1"/>
  <c r="M103" i="1" s="1"/>
  <c r="T20" i="1"/>
  <c r="T21" i="1" s="1"/>
  <c r="K101" i="1"/>
  <c r="I92" i="1"/>
  <c r="J95" i="1"/>
  <c r="K95" i="1" s="1"/>
  <c r="S20" i="1"/>
  <c r="I70" i="1"/>
  <c r="I43" i="1"/>
  <c r="H98" i="1"/>
  <c r="I106" i="1"/>
  <c r="I121" i="1" s="1"/>
  <c r="J115" i="1"/>
  <c r="V23" i="1"/>
  <c r="K97" i="1"/>
  <c r="L97" i="1" s="1"/>
  <c r="M97" i="1" s="1"/>
  <c r="R48" i="1"/>
  <c r="R51" i="1" s="1"/>
  <c r="J70" i="1"/>
  <c r="J87" i="1"/>
  <c r="K72" i="1"/>
  <c r="L72" i="1" s="1"/>
  <c r="L74" i="1"/>
  <c r="M74" i="1" s="1"/>
  <c r="J61" i="1"/>
  <c r="L104" i="1"/>
  <c r="M104" i="1" s="1"/>
  <c r="I87" i="1"/>
  <c r="K83" i="1"/>
  <c r="L83" i="1" s="1"/>
  <c r="G12" i="1"/>
  <c r="G15" i="1" s="1"/>
  <c r="J92" i="1"/>
  <c r="K102" i="1"/>
  <c r="K119" i="1"/>
  <c r="K116" i="1"/>
  <c r="L116" i="1" s="1"/>
  <c r="M116" i="1" s="1"/>
  <c r="K110" i="1"/>
  <c r="K44" i="1"/>
  <c r="L44" i="1" s="1"/>
  <c r="M44" i="1" s="1"/>
  <c r="K76" i="1"/>
  <c r="L76" i="1" s="1"/>
  <c r="M76" i="1" s="1"/>
  <c r="K85" i="1"/>
  <c r="L85" i="1" s="1"/>
  <c r="M85" i="1" s="1"/>
  <c r="K96" i="1"/>
  <c r="L96" i="1" s="1"/>
  <c r="M96" i="1" s="1"/>
  <c r="J106" i="1"/>
  <c r="K118" i="1"/>
  <c r="L118" i="1" s="1"/>
  <c r="M118" i="1" s="1"/>
  <c r="K112" i="1"/>
  <c r="L112" i="1" s="1"/>
  <c r="K109" i="1"/>
  <c r="L109" i="1" s="1"/>
  <c r="M109" i="1" s="1"/>
  <c r="K51" i="1"/>
  <c r="K59" i="1"/>
  <c r="L59" i="1" s="1"/>
  <c r="K90" i="1"/>
  <c r="L90" i="1" s="1"/>
  <c r="L105" i="1"/>
  <c r="M105" i="1" s="1"/>
  <c r="L117" i="1"/>
  <c r="M117" i="1" s="1"/>
  <c r="J111" i="1"/>
  <c r="K111" i="1" s="1"/>
  <c r="L111" i="1" s="1"/>
  <c r="M111" i="1" s="1"/>
  <c r="L93" i="1"/>
  <c r="M93" i="1" s="1"/>
  <c r="U20" i="1"/>
  <c r="L107" i="1"/>
  <c r="M107" i="1" s="1"/>
  <c r="L100" i="1"/>
  <c r="M100" i="1" s="1"/>
  <c r="L91" i="1"/>
  <c r="M91" i="1" s="1"/>
  <c r="L89" i="1"/>
  <c r="K86" i="1"/>
  <c r="K84" i="1"/>
  <c r="L73" i="1"/>
  <c r="M73" i="1" s="1"/>
  <c r="L71" i="1"/>
  <c r="M71" i="1" s="1"/>
  <c r="K68" i="1"/>
  <c r="L68" i="1" s="1"/>
  <c r="K64" i="1"/>
  <c r="K66" i="1"/>
  <c r="L66" i="1" s="1"/>
  <c r="K65" i="1"/>
  <c r="L65" i="1" s="1"/>
  <c r="K67" i="1"/>
  <c r="L67" i="1" s="1"/>
  <c r="K69" i="1"/>
  <c r="L69" i="1" s="1"/>
  <c r="L60" i="1"/>
  <c r="M60" i="1" s="1"/>
  <c r="L58" i="1"/>
  <c r="M58" i="1" s="1"/>
  <c r="K46" i="1"/>
  <c r="K52" i="1"/>
  <c r="K50" i="1"/>
  <c r="L50" i="1" s="1"/>
  <c r="K48" i="1"/>
  <c r="L48" i="1" s="1"/>
  <c r="K45" i="1"/>
  <c r="F30" i="1"/>
  <c r="H30" i="1"/>
  <c r="G30" i="1"/>
  <c r="X26" i="1"/>
  <c r="W28" i="1"/>
  <c r="V28" i="1"/>
  <c r="G29" i="1"/>
  <c r="H29" i="1"/>
  <c r="G31" i="1"/>
  <c r="F31" i="1"/>
  <c r="H31" i="1"/>
  <c r="F29" i="1"/>
  <c r="I10" i="1"/>
  <c r="V9" i="1" s="1"/>
  <c r="H28" i="1"/>
  <c r="S9" i="1"/>
  <c r="G27" i="1"/>
  <c r="T10" i="1" s="1"/>
  <c r="G28" i="1"/>
  <c r="F28" i="1"/>
  <c r="U9" i="1"/>
  <c r="H27" i="1"/>
  <c r="U10" i="1" s="1"/>
  <c r="F15" i="1"/>
  <c r="K114" i="1" l="1"/>
  <c r="J120" i="1"/>
  <c r="J121" i="1" s="1"/>
  <c r="S21" i="1"/>
  <c r="M59" i="1"/>
  <c r="M61" i="1" s="1"/>
  <c r="J98" i="1"/>
  <c r="K106" i="1"/>
  <c r="M72" i="1"/>
  <c r="K115" i="1"/>
  <c r="I98" i="1"/>
  <c r="L101" i="1"/>
  <c r="M101" i="1" s="1"/>
  <c r="M49" i="1"/>
  <c r="V24" i="1"/>
  <c r="L95" i="1"/>
  <c r="M95" i="1" s="1"/>
  <c r="M83" i="1"/>
  <c r="I30" i="1"/>
  <c r="I42" i="1" s="1"/>
  <c r="L64" i="1"/>
  <c r="L70" i="1" s="1"/>
  <c r="K70" i="1"/>
  <c r="L119" i="1"/>
  <c r="M119" i="1" s="1"/>
  <c r="M68" i="1"/>
  <c r="M90" i="1"/>
  <c r="U21" i="1"/>
  <c r="K61" i="1"/>
  <c r="M65" i="1"/>
  <c r="L52" i="1"/>
  <c r="M52" i="1" s="1"/>
  <c r="K92" i="1"/>
  <c r="L51" i="1"/>
  <c r="M51" i="1" s="1"/>
  <c r="L110" i="1"/>
  <c r="M110" i="1" s="1"/>
  <c r="L46" i="1"/>
  <c r="M46" i="1" s="1"/>
  <c r="L92" i="1"/>
  <c r="M112" i="1"/>
  <c r="L61" i="1"/>
  <c r="K87" i="1"/>
  <c r="L102" i="1"/>
  <c r="M89" i="1"/>
  <c r="L84" i="1"/>
  <c r="L86" i="1"/>
  <c r="M86" i="1" s="1"/>
  <c r="M67" i="1"/>
  <c r="M69" i="1"/>
  <c r="M66" i="1"/>
  <c r="M50" i="1"/>
  <c r="L45" i="1"/>
  <c r="M45" i="1" s="1"/>
  <c r="M48" i="1"/>
  <c r="H15" i="1"/>
  <c r="H22" i="1" s="1"/>
  <c r="H24" i="1" s="1"/>
  <c r="G32" i="1"/>
  <c r="G22" i="1"/>
  <c r="G24" i="1" s="1"/>
  <c r="F32" i="1"/>
  <c r="F22" i="1"/>
  <c r="F24" i="1" s="1"/>
  <c r="I29" i="1"/>
  <c r="J29" i="1" s="1"/>
  <c r="Y26" i="1"/>
  <c r="X28" i="1"/>
  <c r="I28" i="1"/>
  <c r="I11" i="1" s="1"/>
  <c r="I12" i="1" s="1"/>
  <c r="J10" i="1"/>
  <c r="W9" i="1" s="1"/>
  <c r="W24" i="1" s="1"/>
  <c r="I31" i="1"/>
  <c r="F18" i="1"/>
  <c r="G18" i="1"/>
  <c r="M64" i="1" l="1"/>
  <c r="L114" i="1"/>
  <c r="K120" i="1"/>
  <c r="K121" i="1" s="1"/>
  <c r="K98" i="1"/>
  <c r="L106" i="1"/>
  <c r="J30" i="1"/>
  <c r="K30" i="1" s="1"/>
  <c r="M70" i="1"/>
  <c r="L115" i="1"/>
  <c r="M115" i="1" s="1"/>
  <c r="L87" i="1"/>
  <c r="L98" i="1" s="1"/>
  <c r="M92" i="1"/>
  <c r="H18" i="1"/>
  <c r="H20" i="1" s="1"/>
  <c r="H41" i="1" s="1"/>
  <c r="H53" i="1" s="1"/>
  <c r="M102" i="1"/>
  <c r="M106" i="1" s="1"/>
  <c r="I23" i="1"/>
  <c r="V20" i="1"/>
  <c r="M84" i="1"/>
  <c r="M87" i="1" s="1"/>
  <c r="H32" i="1"/>
  <c r="I32" i="1" s="1"/>
  <c r="I13" i="1"/>
  <c r="J28" i="1"/>
  <c r="J11" i="1" s="1"/>
  <c r="J12" i="1" s="1"/>
  <c r="K10" i="1"/>
  <c r="L10" i="1" s="1"/>
  <c r="Z26" i="1"/>
  <c r="Z28" i="1" s="1"/>
  <c r="Y28" i="1"/>
  <c r="I14" i="1"/>
  <c r="J31" i="1"/>
  <c r="G20" i="1"/>
  <c r="G41" i="1" s="1"/>
  <c r="G53" i="1" s="1"/>
  <c r="G33" i="1"/>
  <c r="U12" i="1"/>
  <c r="U18" i="1" s="1"/>
  <c r="T12" i="1"/>
  <c r="T18" i="1" s="1"/>
  <c r="S12" i="1"/>
  <c r="S18" i="1" s="1"/>
  <c r="F20" i="1"/>
  <c r="F41" i="1" s="1"/>
  <c r="F53" i="1" s="1"/>
  <c r="F33" i="1"/>
  <c r="K29" i="1"/>
  <c r="J13" i="1"/>
  <c r="J42" i="1" l="1"/>
  <c r="W20" i="1" s="1"/>
  <c r="M114" i="1"/>
  <c r="M120" i="1" s="1"/>
  <c r="M121" i="1" s="1"/>
  <c r="L120" i="1"/>
  <c r="L121" i="1" s="1"/>
  <c r="H33" i="1"/>
  <c r="J32" i="1"/>
  <c r="K32" i="1" s="1"/>
  <c r="M98" i="1"/>
  <c r="X9" i="1"/>
  <c r="X24" i="1" s="1"/>
  <c r="K28" i="1"/>
  <c r="K11" i="1" s="1"/>
  <c r="K12" i="1" s="1"/>
  <c r="K42" i="1"/>
  <c r="L30" i="1"/>
  <c r="V21" i="1"/>
  <c r="K13" i="1"/>
  <c r="T13" i="1"/>
  <c r="T16" i="1"/>
  <c r="S13" i="1"/>
  <c r="S16" i="1"/>
  <c r="U13" i="1"/>
  <c r="U16" i="1"/>
  <c r="K31" i="1"/>
  <c r="K14" i="1" s="1"/>
  <c r="J14" i="1"/>
  <c r="J15" i="1" s="1"/>
  <c r="J22" i="1" s="1"/>
  <c r="I15" i="1"/>
  <c r="M10" i="1"/>
  <c r="Y9" i="1"/>
  <c r="Y24" i="1" s="1"/>
  <c r="L29" i="1"/>
  <c r="J23" i="1" l="1"/>
  <c r="L32" i="1"/>
  <c r="M32" i="1" s="1"/>
  <c r="L28" i="1"/>
  <c r="M28" i="1" s="1"/>
  <c r="M11" i="1" s="1"/>
  <c r="M12" i="1" s="1"/>
  <c r="K23" i="1"/>
  <c r="X20" i="1"/>
  <c r="X21" i="1" s="1"/>
  <c r="L42" i="1"/>
  <c r="M30" i="1"/>
  <c r="J24" i="1"/>
  <c r="W21" i="1"/>
  <c r="L31" i="1"/>
  <c r="L14" i="1" s="1"/>
  <c r="I22" i="1"/>
  <c r="I16" i="1"/>
  <c r="I18" i="1" s="1"/>
  <c r="W12" i="1"/>
  <c r="J16" i="1"/>
  <c r="J18" i="1" s="1"/>
  <c r="J19" i="1" s="1"/>
  <c r="K15" i="1"/>
  <c r="Z9" i="1"/>
  <c r="Z24" i="1" s="1"/>
  <c r="M29" i="1"/>
  <c r="M13" i="1" s="1"/>
  <c r="L13" i="1"/>
  <c r="L11" i="1" l="1"/>
  <c r="L12" i="1" s="1"/>
  <c r="L23" i="1"/>
  <c r="Y20" i="1"/>
  <c r="M42" i="1"/>
  <c r="Y21" i="1"/>
  <c r="M31" i="1"/>
  <c r="M14" i="1" s="1"/>
  <c r="M15" i="1" s="1"/>
  <c r="J20" i="1"/>
  <c r="J41" i="1" s="1"/>
  <c r="J53" i="1" s="1"/>
  <c r="W15" i="1"/>
  <c r="W16" i="1" s="1"/>
  <c r="W13" i="1"/>
  <c r="L15" i="1"/>
  <c r="L22" i="1" s="1"/>
  <c r="K22" i="1"/>
  <c r="K16" i="1"/>
  <c r="K18" i="1" s="1"/>
  <c r="K19" i="1" s="1"/>
  <c r="I19" i="1"/>
  <c r="I24" i="1"/>
  <c r="V12" i="1"/>
  <c r="M23" i="1" l="1"/>
  <c r="Z20" i="1"/>
  <c r="W18" i="1"/>
  <c r="W30" i="1" s="1"/>
  <c r="W32" i="1" s="1"/>
  <c r="L16" i="1"/>
  <c r="L18" i="1" s="1"/>
  <c r="L19" i="1" s="1"/>
  <c r="V13" i="1"/>
  <c r="I20" i="1"/>
  <c r="I41" i="1" s="1"/>
  <c r="I53" i="1" s="1"/>
  <c r="V15" i="1"/>
  <c r="V16" i="1" s="1"/>
  <c r="K20" i="1"/>
  <c r="K41" i="1" s="1"/>
  <c r="K53" i="1" s="1"/>
  <c r="X15" i="1"/>
  <c r="Z21" i="1"/>
  <c r="K24" i="1"/>
  <c r="X12" i="1"/>
  <c r="M16" i="1"/>
  <c r="M18" i="1" s="1"/>
  <c r="M19" i="1" s="1"/>
  <c r="M22" i="1"/>
  <c r="L24" i="1"/>
  <c r="Y12" i="1"/>
  <c r="X16" i="1" l="1"/>
  <c r="L20" i="1"/>
  <c r="L41" i="1" s="1"/>
  <c r="L53" i="1" s="1"/>
  <c r="Y15" i="1"/>
  <c r="Y16" i="1" s="1"/>
  <c r="M20" i="1"/>
  <c r="M41" i="1" s="1"/>
  <c r="M53" i="1" s="1"/>
  <c r="Z15" i="1"/>
  <c r="Y13" i="1"/>
  <c r="X13" i="1"/>
  <c r="X18" i="1"/>
  <c r="X30" i="1" s="1"/>
  <c r="X32" i="1" s="1"/>
  <c r="V18" i="1"/>
  <c r="V30" i="1" s="1"/>
  <c r="V32" i="1" s="1"/>
  <c r="M24" i="1"/>
  <c r="Z12" i="1"/>
  <c r="Y18" i="1" l="1"/>
  <c r="Y30" i="1" s="1"/>
  <c r="Y32" i="1" s="1"/>
  <c r="Z16" i="1"/>
  <c r="Z13" i="1"/>
  <c r="Z18" i="1"/>
  <c r="Z30" i="1" s="1"/>
  <c r="V36" i="1" l="1"/>
  <c r="V38" i="1" s="1"/>
  <c r="V39" i="1" s="1"/>
  <c r="Z37" i="1" s="1"/>
  <c r="Z32" i="1"/>
  <c r="Z36" i="1" s="1"/>
  <c r="Z38" i="1" l="1"/>
  <c r="Z41" i="1" s="1"/>
  <c r="Z43" i="1" s="1"/>
</calcChain>
</file>

<file path=xl/sharedStrings.xml><?xml version="1.0" encoding="utf-8"?>
<sst xmlns="http://schemas.openxmlformats.org/spreadsheetml/2006/main" count="296" uniqueCount="182">
  <si>
    <t>McDonalds Corp</t>
  </si>
  <si>
    <t xml:space="preserve">MCD </t>
  </si>
  <si>
    <t>Amounts in millions</t>
  </si>
  <si>
    <t>Units</t>
  </si>
  <si>
    <t>$m</t>
  </si>
  <si>
    <t>Revenue</t>
  </si>
  <si>
    <t>Cost of Sales</t>
  </si>
  <si>
    <t>Gross Profit</t>
  </si>
  <si>
    <t>Operating Income</t>
  </si>
  <si>
    <t>– Interest Income (Expense)</t>
  </si>
  <si>
    <t>– Other Income (Expense)</t>
  </si>
  <si>
    <t>Pretax Income</t>
  </si>
  <si>
    <r>
      <t>– Tax Provision</t>
    </r>
    <r>
      <rPr>
        <vertAlign val="super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(Income)</t>
    </r>
  </si>
  <si>
    <t>Net Income</t>
  </si>
  <si>
    <t>EBIT</t>
  </si>
  <si>
    <r>
      <t>Depreciation &amp; Amortization</t>
    </r>
    <r>
      <rPr>
        <vertAlign val="superscript"/>
        <sz val="11"/>
        <color theme="1"/>
        <rFont val="Calibri"/>
        <family val="2"/>
        <scheme val="minor"/>
      </rPr>
      <t>1</t>
    </r>
  </si>
  <si>
    <t>EBITDA</t>
  </si>
  <si>
    <t>Consolidated Statement of Income - USD ($)</t>
  </si>
  <si>
    <t>$ in Millions</t>
  </si>
  <si>
    <t>12 Months Ended</t>
  </si>
  <si>
    <t>Dec. 31, 2025</t>
  </si>
  <si>
    <t>Dec. 31, 2024</t>
  </si>
  <si>
    <t>Dec. 31, 2023</t>
  </si>
  <si>
    <t>REVENUES</t>
  </si>
  <si>
    <t>Revenues from franchised restaurants</t>
  </si>
  <si>
    <t>Sales by Company-owned and operated restaurants</t>
  </si>
  <si>
    <t>Other revenues</t>
  </si>
  <si>
    <t>Total revenues</t>
  </si>
  <si>
    <t>OPERATING COSTS AND EXPENSES</t>
  </si>
  <si>
    <t>Franchised restaurants-occupancy expenses</t>
  </si>
  <si>
    <t>Food &amp; paper</t>
  </si>
  <si>
    <t>Payroll &amp; employee benefits</t>
  </si>
  <si>
    <t>Occupancy &amp; other operating expenses</t>
  </si>
  <si>
    <t>Other restaurant expenses</t>
  </si>
  <si>
    <t>Depreciation and amortization</t>
  </si>
  <si>
    <t>Other</t>
  </si>
  <si>
    <t>Other operating (income) expense, net</t>
  </si>
  <si>
    <t>Total operating costs and expenses</t>
  </si>
  <si>
    <t>Operating income</t>
  </si>
  <si>
    <t>Interest expense-net of capitalized interest of $29, $22 and $14</t>
  </si>
  <si>
    <t>Nonoperating (income) expense, net</t>
  </si>
  <si>
    <t>Income before provision for income taxes</t>
  </si>
  <si>
    <t>Provision for income taxes</t>
  </si>
  <si>
    <t>Net income</t>
  </si>
  <si>
    <t>Earnings per common share–basic</t>
  </si>
  <si>
    <t>Earnings per common share–diluted</t>
  </si>
  <si>
    <t>Dividends declared per common share</t>
  </si>
  <si>
    <t>Weighted-average shares outstanding–basic</t>
  </si>
  <si>
    <t>Weighted-average shares outstanding–diluted</t>
  </si>
  <si>
    <t>Operating Expenses</t>
  </si>
  <si>
    <t>Income Statement Assumptions</t>
  </si>
  <si>
    <t>Revenue Growth</t>
  </si>
  <si>
    <t>Cost of Sales % Revenues</t>
  </si>
  <si>
    <t>D&amp;A as a % of Revenue</t>
  </si>
  <si>
    <t>Taxes % of Profit Before Tax</t>
  </si>
  <si>
    <t>%</t>
  </si>
  <si>
    <t>Operating Expenses(% of Revenue)</t>
  </si>
  <si>
    <t>Interest Income(% of income)</t>
  </si>
  <si>
    <t>Projections</t>
  </si>
  <si>
    <t>-</t>
  </si>
  <si>
    <t>Source:ValueInvesting.io</t>
  </si>
  <si>
    <t>DCF Analysis</t>
  </si>
  <si>
    <t>% of Revenue</t>
  </si>
  <si>
    <t>% of Revenue growth</t>
  </si>
  <si>
    <t>EBIT margin</t>
  </si>
  <si>
    <t>Taxes</t>
  </si>
  <si>
    <t>% of EBIT</t>
  </si>
  <si>
    <t>EBIAT</t>
  </si>
  <si>
    <t>Depreciation &amp; Amortization</t>
  </si>
  <si>
    <t>Capital Expenditure</t>
  </si>
  <si>
    <t>Consolidated Statement of Cash Flows - USD ($)</t>
  </si>
  <si>
    <t>Operating activities</t>
  </si>
  <si>
    <t>Charges and credits:</t>
  </si>
  <si>
    <t>Deferred income taxes</t>
  </si>
  <si>
    <t>Share-based compensation expense</t>
  </si>
  <si>
    <t>Net (gain) loss on sale of restaurant and other businesses</t>
  </si>
  <si>
    <t>Changes in working capital items:</t>
  </si>
  <si>
    <t>Accounts receivable</t>
  </si>
  <si>
    <t>Inventories, prepaid expenses and other current assets</t>
  </si>
  <si>
    <t>Accounts payable</t>
  </si>
  <si>
    <t>Income taxes</t>
  </si>
  <si>
    <t>Other accrued liabilities</t>
  </si>
  <si>
    <t>Cash provided by operations</t>
  </si>
  <si>
    <t>Investing activities</t>
  </si>
  <si>
    <t>Capital expenditures</t>
  </si>
  <si>
    <t>Purchases of restaurant businesses</t>
  </si>
  <si>
    <t>Payments to Acquire Equity Method Investments</t>
  </si>
  <si>
    <t>Sales of restaurant and other businesses</t>
  </si>
  <si>
    <t>Sales of property</t>
  </si>
  <si>
    <t>Cash used for investing activities</t>
  </si>
  <si>
    <t>Financing activities</t>
  </si>
  <si>
    <t>Net short-term borrowings</t>
  </si>
  <si>
    <t>Long-term financing issuances</t>
  </si>
  <si>
    <t>Long-term financing repayments</t>
  </si>
  <si>
    <t>Treasury stock purchases</t>
  </si>
  <si>
    <t>Common stock dividends</t>
  </si>
  <si>
    <t>Proceeds from stock option exercises</t>
  </si>
  <si>
    <t>Cash used for financing activities</t>
  </si>
  <si>
    <t>Effect of exchange rates on cash and equivalents</t>
  </si>
  <si>
    <t>Cash and equivalents increase (decrease)</t>
  </si>
  <si>
    <t>Cash and equivalents at beginning of year</t>
  </si>
  <si>
    <t>Cash and equivalents at end of year</t>
  </si>
  <si>
    <t>Supplemental cash flow disclosures</t>
  </si>
  <si>
    <t>Interest Paid</t>
  </si>
  <si>
    <t>Net Working Capital</t>
  </si>
  <si>
    <t>Changes in Net Working Capital</t>
  </si>
  <si>
    <t>Unlevered Free Cash Flow</t>
  </si>
  <si>
    <t>Present value of  Free Cash Flow</t>
  </si>
  <si>
    <t>Statement  of Cash flows</t>
  </si>
  <si>
    <t>Statement of Profit or Loss</t>
  </si>
  <si>
    <t>Operating Cash flow</t>
  </si>
  <si>
    <t>Other expenses</t>
  </si>
  <si>
    <t>Other Expenses as a % of Revenue</t>
  </si>
  <si>
    <t>Deferred Income Tax</t>
  </si>
  <si>
    <t>Investing Cash Flow</t>
  </si>
  <si>
    <t>Consolidated Balance Sheet - USD ($)</t>
  </si>
  <si>
    <t>Current assets</t>
  </si>
  <si>
    <t>Cash and equivalents</t>
  </si>
  <si>
    <t>Accounts and notes receivable</t>
  </si>
  <si>
    <t>Inventories, at cost, not in excess of market</t>
  </si>
  <si>
    <t>Prepaid expenses and other current assets</t>
  </si>
  <si>
    <t>Total current assets</t>
  </si>
  <si>
    <t>Other assets</t>
  </si>
  <si>
    <t>Investments in and advances to affiliates</t>
  </si>
  <si>
    <t>Goodwill</t>
  </si>
  <si>
    <t>Miscellaneous</t>
  </si>
  <si>
    <t>Total other assets</t>
  </si>
  <si>
    <t>Lease right-of use asset, net</t>
  </si>
  <si>
    <t>Property and equipment</t>
  </si>
  <si>
    <t>Property and equipment, at cost</t>
  </si>
  <si>
    <t>Accumulated depreciation and amortization</t>
  </si>
  <si>
    <t>Net property and equipment</t>
  </si>
  <si>
    <t>Total assets</t>
  </si>
  <si>
    <t>Current liabilities</t>
  </si>
  <si>
    <t>Current lease liability</t>
  </si>
  <si>
    <t>Other taxes</t>
  </si>
  <si>
    <t>Accrued interest</t>
  </si>
  <si>
    <t>Accrued payroll and other liabilities</t>
  </si>
  <si>
    <t>Total current liabilities</t>
  </si>
  <si>
    <t>Long-term debt</t>
  </si>
  <si>
    <t>Long-term lease liability (noncurrent), net</t>
  </si>
  <si>
    <t>Long-term income taxes</t>
  </si>
  <si>
    <t>Deferred revenues - initial franchise fees</t>
  </si>
  <si>
    <t>Other long-term liabilities</t>
  </si>
  <si>
    <t>Shareholders' equity (deficit)</t>
  </si>
  <si>
    <t>Preferred stock, no par value; authorized – 165.0 million shares; issued – none</t>
  </si>
  <si>
    <t>Common stock, $.01 par value; authorized – 3.5 billion shares; issued – 1,660.6 million shares</t>
  </si>
  <si>
    <t>Additional paid-in capital</t>
  </si>
  <si>
    <t>Retained earnings</t>
  </si>
  <si>
    <t>Accumulated other comprehensive income (loss)</t>
  </si>
  <si>
    <t>Common stock in treasury, at cost; 950.0 and 945.4 million shares</t>
  </si>
  <si>
    <t>Total shareholders' equity (deficit)</t>
  </si>
  <si>
    <t>Total liabilities and shareholders' equity (deficit)</t>
  </si>
  <si>
    <t>Statement  of Financial position</t>
  </si>
  <si>
    <t>3 Statement Financial Model</t>
  </si>
  <si>
    <t>WACC</t>
  </si>
  <si>
    <t>Weighted Average Cost of Capital</t>
  </si>
  <si>
    <r>
      <t>Risk free rate (R</t>
    </r>
    <r>
      <rPr>
        <vertAlign val="subscript"/>
        <sz val="10"/>
        <rFont val="Calibri"/>
        <family val="2"/>
        <scheme val="minor"/>
      </rPr>
      <t>f</t>
    </r>
    <r>
      <rPr>
        <sz val="11"/>
        <color theme="1"/>
        <rFont val="Calibri"/>
        <family val="2"/>
        <scheme val="minor"/>
      </rPr>
      <t>)</t>
    </r>
  </si>
  <si>
    <t>Equity Beta</t>
  </si>
  <si>
    <r>
      <t>Equity risk premium (R</t>
    </r>
    <r>
      <rPr>
        <vertAlign val="subscript"/>
        <sz val="10"/>
        <rFont val="Calibri"/>
        <family val="2"/>
        <scheme val="minor"/>
      </rPr>
      <t>m</t>
    </r>
    <r>
      <rPr>
        <sz val="11"/>
        <color theme="1"/>
        <rFont val="Calibri"/>
        <family val="2"/>
        <scheme val="minor"/>
      </rPr>
      <t xml:space="preserve"> - R</t>
    </r>
    <r>
      <rPr>
        <vertAlign val="subscript"/>
        <sz val="10"/>
        <rFont val="Calibri"/>
        <family val="2"/>
        <scheme val="minor"/>
      </rPr>
      <t>f</t>
    </r>
    <r>
      <rPr>
        <sz val="11"/>
        <color theme="1"/>
        <rFont val="Calibri"/>
        <family val="2"/>
        <scheme val="minor"/>
      </rPr>
      <t>)</t>
    </r>
  </si>
  <si>
    <r>
      <t>Cost of Equity (K</t>
    </r>
    <r>
      <rPr>
        <b/>
        <vertAlign val="subscript"/>
        <sz val="8"/>
        <rFont val="Calibri"/>
        <family val="2"/>
        <scheme val="minor"/>
      </rPr>
      <t>e</t>
    </r>
    <r>
      <rPr>
        <b/>
        <sz val="10"/>
        <rFont val="Calibri"/>
        <family val="2"/>
        <scheme val="minor"/>
      </rPr>
      <t>)</t>
    </r>
  </si>
  <si>
    <t>Cost of debt</t>
  </si>
  <si>
    <t>Tax rate</t>
  </si>
  <si>
    <r>
      <t>After-tax Cost of Debt (K</t>
    </r>
    <r>
      <rPr>
        <b/>
        <vertAlign val="subscript"/>
        <sz val="8"/>
        <rFont val="Calibri"/>
        <family val="2"/>
        <scheme val="minor"/>
      </rPr>
      <t>dt</t>
    </r>
    <r>
      <rPr>
        <b/>
        <sz val="10"/>
        <rFont val="Calibri"/>
        <family val="2"/>
        <scheme val="minor"/>
      </rPr>
      <t>)</t>
    </r>
  </si>
  <si>
    <t>Percentage of Capital</t>
  </si>
  <si>
    <t>Debt</t>
  </si>
  <si>
    <t>Equity</t>
  </si>
  <si>
    <t>Total capital</t>
  </si>
  <si>
    <t>Terminal Value - Perpetuity Growth</t>
  </si>
  <si>
    <t>Perpetuity growth rate</t>
  </si>
  <si>
    <t>Terminal Value</t>
  </si>
  <si>
    <t>PV of Terminal value</t>
  </si>
  <si>
    <t>DCF Value - Perpetuity Growth</t>
  </si>
  <si>
    <t>PV of Terminal Value</t>
  </si>
  <si>
    <t>Implied Enterprise Value</t>
  </si>
  <si>
    <t>Less: Debt</t>
  </si>
  <si>
    <t>Add: Cash</t>
  </si>
  <si>
    <t>Implied Equity Value</t>
  </si>
  <si>
    <t>Diluted shares</t>
  </si>
  <si>
    <t>Implied Value Per Share</t>
  </si>
  <si>
    <t>Implied value per share</t>
  </si>
  <si>
    <t>Discounted Cash flow Analysis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</si>
</sst>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3" formatCode="_(* #,##0.00_);_(* \(#,##0.00\);_(* &quot;-&quot;??_);_(@_)"/>
    <numFmt numFmtId="164" formatCode="&quot;FY&quot;0\A"/>
    <numFmt numFmtId="165" formatCode="&quot;FY&quot;0\E"/>
    <numFmt numFmtId="166" formatCode="_(* #,##0_);_(* \(#,##0\);_(* \–\ ?;_(@_)"/>
    <numFmt numFmtId="167" formatCode="_(* #,##0_);_(* \(#,##0\);_(* &quot;-&quot;??_);_(@_)"/>
    <numFmt numFmtId="168" formatCode="0.0%"/>
    <numFmt numFmtId="169" formatCode="#,##0.00%_);\(#,##0.00%\)"/>
    <numFmt numFmtId="170" formatCode="_(* #,##0.00_);_(* \(#,##0.00\);_(* \–\ ?;_(@_)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9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0000FF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b/>
      <sz val="8"/>
      <color rgb="FF000000"/>
      <name val="Helvetica"/>
    </font>
    <font>
      <sz val="8"/>
      <color rgb="FF000000"/>
      <name val="Helvetica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i/>
      <sz val="8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vertAlign val="subscript"/>
      <sz val="10"/>
      <name val="Calibri"/>
      <family val="2"/>
      <scheme val="minor"/>
    </font>
    <font>
      <b/>
      <vertAlign val="subscript"/>
      <sz val="8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8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52B1E"/>
        <bgColor indexed="64"/>
      </patternFill>
    </fill>
    <fill>
      <patternFill patternType="solid">
        <fgColor rgb="FFFDC82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AACCFF"/>
        <bgColor indexed="64"/>
      </patternFill>
    </fill>
    <fill>
      <patternFill patternType="solid">
        <fgColor rgb="FFDDEEFF"/>
        <bgColor indexed="64"/>
      </patternFill>
    </fill>
    <fill>
      <patternFill patternType="solid">
        <fgColor rgb="FFC00000"/>
        <bgColor indexed="64"/>
      </patternFill>
    </fill>
  </fills>
  <borders count="6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D52B1E"/>
      </left>
      <right/>
      <top style="thin">
        <color rgb="FFD52B1E"/>
      </top>
      <bottom style="thin">
        <color rgb="FFD52B1E"/>
      </bottom>
      <diagonal/>
    </border>
    <border>
      <left/>
      <right/>
      <top style="thin">
        <color rgb="FFD52B1E"/>
      </top>
      <bottom style="thin">
        <color rgb="FFD52B1E"/>
      </bottom>
      <diagonal/>
    </border>
    <border>
      <left/>
      <right style="thin">
        <color rgb="FFD52B1E"/>
      </right>
      <top style="thin">
        <color rgb="FFD52B1E"/>
      </top>
      <bottom style="thin">
        <color rgb="FFD52B1E"/>
      </bottom>
      <diagonal/>
    </border>
    <border>
      <left style="thin">
        <color rgb="FFD52B1E"/>
      </left>
      <right/>
      <top style="thin">
        <color rgb="FFD52B1E"/>
      </top>
      <bottom/>
      <diagonal/>
    </border>
    <border>
      <left/>
      <right/>
      <top style="thin">
        <color rgb="FFD52B1E"/>
      </top>
      <bottom/>
      <diagonal/>
    </border>
    <border>
      <left/>
      <right style="thin">
        <color rgb="FFD52B1E"/>
      </right>
      <top style="thin">
        <color rgb="FFD52B1E"/>
      </top>
      <bottom/>
      <diagonal/>
    </border>
    <border>
      <left style="thin">
        <color rgb="FFD52B1E"/>
      </left>
      <right/>
      <top/>
      <bottom style="thin">
        <color rgb="FFD52B1E"/>
      </bottom>
      <diagonal/>
    </border>
    <border>
      <left/>
      <right/>
      <top/>
      <bottom style="thin">
        <color rgb="FFD52B1E"/>
      </bottom>
      <diagonal/>
    </border>
    <border>
      <left/>
      <right style="thin">
        <color rgb="FFD52B1E"/>
      </right>
      <top/>
      <bottom style="thin">
        <color rgb="FFD52B1E"/>
      </bottom>
      <diagonal/>
    </border>
    <border>
      <left/>
      <right/>
      <top/>
      <bottom style="medium">
        <color rgb="FFD52B1E"/>
      </bottom>
      <diagonal/>
    </border>
    <border>
      <left style="thin">
        <color rgb="FFD52B1E"/>
      </left>
      <right/>
      <top style="thin">
        <color rgb="FFD52B1E"/>
      </top>
      <bottom style="medium">
        <color rgb="FFD52B1E"/>
      </bottom>
      <diagonal/>
    </border>
    <border>
      <left/>
      <right/>
      <top style="thin">
        <color rgb="FFD52B1E"/>
      </top>
      <bottom style="medium">
        <color rgb="FFD52B1E"/>
      </bottom>
      <diagonal/>
    </border>
    <border>
      <left/>
      <right style="thin">
        <color rgb="FFD52B1E"/>
      </right>
      <top style="thin">
        <color rgb="FFD52B1E"/>
      </top>
      <bottom style="medium">
        <color rgb="FFD52B1E"/>
      </bottom>
      <diagonal/>
    </border>
    <border>
      <left style="thin">
        <color rgb="FFD52B1E"/>
      </left>
      <right/>
      <top/>
      <bottom style="medium">
        <color rgb="FFD52B1E"/>
      </bottom>
      <diagonal/>
    </border>
    <border>
      <left/>
      <right style="thin">
        <color rgb="FFD52B1E"/>
      </right>
      <top/>
      <bottom style="medium">
        <color rgb="FFD52B1E"/>
      </bottom>
      <diagonal/>
    </border>
    <border>
      <left/>
      <right style="thin">
        <color rgb="FFD52B1E"/>
      </right>
      <top/>
      <bottom/>
      <diagonal/>
    </border>
    <border>
      <left/>
      <right style="thin">
        <color theme="1"/>
      </right>
      <top/>
      <bottom/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medium">
        <color rgb="FF000000"/>
      </bottom>
      <diagonal/>
    </border>
    <border>
      <left style="thick">
        <color rgb="FFAACCFF"/>
      </left>
      <right/>
      <top style="thick">
        <color rgb="FFAACCFF"/>
      </top>
      <bottom/>
      <diagonal/>
    </border>
    <border>
      <left/>
      <right/>
      <top style="thick">
        <color rgb="FFAACCFF"/>
      </top>
      <bottom/>
      <diagonal/>
    </border>
    <border>
      <left/>
      <right style="thick">
        <color rgb="FFAACCFF"/>
      </right>
      <top style="thick">
        <color rgb="FFAACCFF"/>
      </top>
      <bottom/>
      <diagonal/>
    </border>
    <border>
      <left style="thick">
        <color rgb="FFAACCFF"/>
      </left>
      <right/>
      <top/>
      <bottom/>
      <diagonal/>
    </border>
    <border>
      <left/>
      <right style="thick">
        <color rgb="FFAACCFF"/>
      </right>
      <top/>
      <bottom/>
      <diagonal/>
    </border>
    <border>
      <left/>
      <right style="thick">
        <color rgb="FFAACCFF"/>
      </right>
      <top/>
      <bottom style="medium">
        <color rgb="FF000000"/>
      </bottom>
      <diagonal/>
    </border>
    <border>
      <left style="thick">
        <color rgb="FFAACCFF"/>
      </left>
      <right/>
      <top/>
      <bottom style="thick">
        <color rgb="FFAACCFF"/>
      </bottom>
      <diagonal/>
    </border>
    <border>
      <left/>
      <right/>
      <top/>
      <bottom style="thick">
        <color rgb="FFAACCFF"/>
      </bottom>
      <diagonal/>
    </border>
    <border>
      <left/>
      <right style="thick">
        <color rgb="FFAACCFF"/>
      </right>
      <top/>
      <bottom style="thick">
        <color rgb="FFAACCFF"/>
      </bottom>
      <diagonal/>
    </border>
    <border>
      <left style="thin">
        <color rgb="FFD52B1E"/>
      </left>
      <right/>
      <top style="thin">
        <color rgb="FFD52B1E"/>
      </top>
      <bottom style="double">
        <color rgb="FFD52B1E"/>
      </bottom>
      <diagonal/>
    </border>
    <border>
      <left/>
      <right/>
      <top style="thin">
        <color rgb="FFD52B1E"/>
      </top>
      <bottom style="double">
        <color rgb="FFD52B1E"/>
      </bottom>
      <diagonal/>
    </border>
    <border>
      <left/>
      <right style="thin">
        <color rgb="FFD52B1E"/>
      </right>
      <top style="thin">
        <color rgb="FFD52B1E"/>
      </top>
      <bottom style="double">
        <color rgb="FFD52B1E"/>
      </bottom>
      <diagonal/>
    </border>
    <border>
      <left/>
      <right style="thin">
        <color theme="1"/>
      </right>
      <top/>
      <bottom style="thin">
        <color rgb="FFD52B1E"/>
      </bottom>
      <diagonal/>
    </border>
    <border>
      <left/>
      <right style="thin">
        <color theme="1"/>
      </right>
      <top style="thin">
        <color rgb="FFD52B1E"/>
      </top>
      <bottom style="double">
        <color rgb="FFD52B1E"/>
      </bottom>
      <diagonal/>
    </border>
    <border>
      <left/>
      <right/>
      <top style="thin">
        <color theme="1"/>
      </top>
      <bottom style="thin">
        <color theme="0"/>
      </bottom>
      <diagonal/>
    </border>
    <border>
      <left/>
      <right style="thin">
        <color theme="1"/>
      </right>
      <top style="thin">
        <color theme="1"/>
      </top>
      <bottom style="thin">
        <color theme="0"/>
      </bottom>
      <diagonal/>
    </border>
    <border>
      <left/>
      <right style="thin">
        <color rgb="FFD52B1E"/>
      </right>
      <top style="thin">
        <color theme="1"/>
      </top>
      <bottom style="thin">
        <color theme="0"/>
      </bottom>
      <diagonal/>
    </border>
    <border>
      <left/>
      <right style="thin">
        <color rgb="FFD52B1E"/>
      </right>
      <top style="thin">
        <color theme="0"/>
      </top>
      <bottom/>
      <diagonal/>
    </border>
    <border>
      <left/>
      <right style="thin">
        <color theme="1"/>
      </right>
      <top style="thin">
        <color rgb="FFD52B1E"/>
      </top>
      <bottom/>
      <diagonal/>
    </border>
    <border>
      <left/>
      <right style="thin">
        <color rgb="FFD52B1E"/>
      </right>
      <top style="double">
        <color rgb="FFD52B1E"/>
      </top>
      <bottom/>
      <diagonal/>
    </border>
    <border>
      <left style="thin">
        <color rgb="FFD52B1E"/>
      </left>
      <right/>
      <top/>
      <bottom/>
      <diagonal/>
    </border>
    <border>
      <left style="thin">
        <color rgb="FFD52B1E"/>
      </left>
      <right/>
      <top style="double">
        <color rgb="FFD52B1E"/>
      </top>
      <bottom style="thin">
        <color rgb="FFD52B1E"/>
      </bottom>
      <diagonal/>
    </border>
    <border>
      <left/>
      <right/>
      <top style="double">
        <color rgb="FFD52B1E"/>
      </top>
      <bottom style="thin">
        <color rgb="FFD52B1E"/>
      </bottom>
      <diagonal/>
    </border>
    <border>
      <left/>
      <right style="thin">
        <color theme="1"/>
      </right>
      <top style="thin">
        <color rgb="FFD52B1E"/>
      </top>
      <bottom style="thin">
        <color rgb="FFD52B1E"/>
      </bottom>
      <diagonal/>
    </border>
    <border>
      <left/>
      <right style="thin">
        <color indexed="64"/>
      </right>
      <top style="thin">
        <color theme="0"/>
      </top>
      <bottom/>
      <diagonal/>
    </border>
    <border>
      <left/>
      <right style="thin">
        <color indexed="64"/>
      </right>
      <top style="thin">
        <color rgb="FFD52B1E"/>
      </top>
      <bottom style="thin">
        <color rgb="FFD52B1E"/>
      </bottom>
      <diagonal/>
    </border>
    <border>
      <left/>
      <right style="thin">
        <color indexed="64"/>
      </right>
      <top style="thin">
        <color theme="1"/>
      </top>
      <bottom style="thin">
        <color theme="0"/>
      </bottom>
      <diagonal/>
    </border>
    <border>
      <left style="thin">
        <color rgb="FFD52B1E"/>
      </left>
      <right/>
      <top style="thin">
        <color indexed="64"/>
      </top>
      <bottom/>
      <diagonal/>
    </border>
    <border>
      <left style="thin">
        <color rgb="FFD52B1E"/>
      </left>
      <right/>
      <top style="thin">
        <color indexed="64"/>
      </top>
      <bottom style="double">
        <color indexed="64"/>
      </bottom>
      <diagonal/>
    </border>
    <border>
      <left/>
      <right style="thin">
        <color rgb="FFD52B1E"/>
      </right>
      <top style="thin">
        <color indexed="64"/>
      </top>
      <bottom/>
      <diagonal/>
    </border>
    <border>
      <left/>
      <right style="thin">
        <color rgb="FFD52B1E"/>
      </right>
      <top style="thin">
        <color indexed="64"/>
      </top>
      <bottom style="double">
        <color indexed="64"/>
      </bottom>
      <diagonal/>
    </border>
    <border>
      <left/>
      <right style="thin">
        <color rgb="FFD52B1E"/>
      </right>
      <top style="medium">
        <color rgb="FFD52B1E"/>
      </top>
      <bottom/>
      <diagonal/>
    </border>
    <border>
      <left style="thin">
        <color rgb="FFD52B1E"/>
      </left>
      <right/>
      <top style="double">
        <color indexed="64"/>
      </top>
      <bottom style="thin">
        <color rgb="FFD52B1E"/>
      </bottom>
      <diagonal/>
    </border>
    <border>
      <left/>
      <right/>
      <top style="double">
        <color indexed="64"/>
      </top>
      <bottom style="thin">
        <color rgb="FFD52B1E"/>
      </bottom>
      <diagonal/>
    </border>
    <border>
      <left/>
      <right style="thin">
        <color rgb="FFD52B1E"/>
      </right>
      <top style="double">
        <color indexed="64"/>
      </top>
      <bottom style="thin">
        <color rgb="FFD52B1E"/>
      </bottom>
      <diagonal/>
    </border>
    <border>
      <left/>
      <right style="thin">
        <color indexed="64"/>
      </right>
      <top/>
      <bottom style="medium">
        <color rgb="FFD52B1E"/>
      </bottom>
      <diagonal/>
    </border>
    <border>
      <left/>
      <right style="thin">
        <color indexed="64"/>
      </right>
      <top style="thin">
        <color rgb="FFD52B1E"/>
      </top>
      <bottom style="medium">
        <color rgb="FFD52B1E"/>
      </bottom>
      <diagonal/>
    </border>
    <border>
      <left/>
      <right style="thin">
        <color indexed="64"/>
      </right>
      <top/>
      <bottom style="thin">
        <color rgb="FFD52B1E"/>
      </bottom>
      <diagonal/>
    </border>
    <border>
      <left/>
      <right style="thin">
        <color indexed="64"/>
      </right>
      <top style="thin">
        <color rgb="FFD52B1E"/>
      </top>
      <bottom/>
      <diagonal/>
    </border>
    <border>
      <left/>
      <right style="thin">
        <color indexed="64"/>
      </right>
      <top style="thin">
        <color rgb="FFD52B1E"/>
      </top>
      <bottom style="double">
        <color rgb="FFD52B1E"/>
      </bottom>
      <diagonal/>
    </border>
    <border>
      <left/>
      <right style="thin">
        <color indexed="64"/>
      </right>
      <top style="double">
        <color rgb="FFD52B1E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 applyNumberFormat="0" applyFill="0" applyBorder="0" applyAlignment="0" applyProtection="0"/>
    <xf numFmtId="0" fontId="22" fillId="0" borderId="0"/>
  </cellStyleXfs>
  <cellXfs count="269">
    <xf numFmtId="0" fontId="0" fillId="0" borderId="0" xfId="0"/>
    <xf numFmtId="0" fontId="0" fillId="2" borderId="0" xfId="0" applyFill="1"/>
    <xf numFmtId="0" fontId="3" fillId="2" borderId="0" xfId="0" applyFont="1" applyFill="1"/>
    <xf numFmtId="0" fontId="0" fillId="2" borderId="0" xfId="0" applyFill="1" applyBorder="1"/>
    <xf numFmtId="0" fontId="3" fillId="2" borderId="2" xfId="0" applyFont="1" applyFill="1" applyBorder="1"/>
    <xf numFmtId="0" fontId="0" fillId="2" borderId="3" xfId="0" applyFill="1" applyBorder="1"/>
    <xf numFmtId="0" fontId="3" fillId="2" borderId="5" xfId="0" applyFont="1" applyFill="1" applyBorder="1"/>
    <xf numFmtId="0" fontId="0" fillId="2" borderId="6" xfId="0" applyFill="1" applyBorder="1"/>
    <xf numFmtId="0" fontId="0" fillId="2" borderId="8" xfId="0" applyFill="1" applyBorder="1"/>
    <xf numFmtId="0" fontId="0" fillId="2" borderId="9" xfId="0" applyFill="1" applyBorder="1"/>
    <xf numFmtId="0" fontId="0" fillId="2" borderId="10" xfId="0" applyFill="1" applyBorder="1"/>
    <xf numFmtId="0" fontId="3" fillId="2" borderId="0" xfId="0" applyFont="1" applyFill="1" applyBorder="1"/>
    <xf numFmtId="0" fontId="0" fillId="2" borderId="11" xfId="0" applyFill="1" applyBorder="1"/>
    <xf numFmtId="0" fontId="3" fillId="2" borderId="12" xfId="0" applyFont="1" applyFill="1" applyBorder="1"/>
    <xf numFmtId="0" fontId="0" fillId="2" borderId="13" xfId="0" applyFill="1" applyBorder="1"/>
    <xf numFmtId="0" fontId="0" fillId="2" borderId="14" xfId="0" applyFill="1" applyBorder="1"/>
    <xf numFmtId="0" fontId="0" fillId="2" borderId="16" xfId="0" applyFill="1" applyBorder="1"/>
    <xf numFmtId="0" fontId="0" fillId="3" borderId="0" xfId="0" applyFill="1" applyBorder="1"/>
    <xf numFmtId="0" fontId="0" fillId="3" borderId="17" xfId="0" applyFill="1" applyBorder="1"/>
    <xf numFmtId="0" fontId="0" fillId="2" borderId="17" xfId="0" applyFill="1" applyBorder="1"/>
    <xf numFmtId="0" fontId="0" fillId="2" borderId="18" xfId="0" applyFill="1" applyBorder="1"/>
    <xf numFmtId="0" fontId="6" fillId="2" borderId="0" xfId="0" applyFont="1" applyFill="1" applyBorder="1" applyProtection="1">
      <protection locked="0"/>
    </xf>
    <xf numFmtId="0" fontId="6" fillId="2" borderId="6" xfId="0" applyFont="1" applyFill="1" applyBorder="1" applyProtection="1">
      <protection locked="0"/>
    </xf>
    <xf numFmtId="0" fontId="0" fillId="2" borderId="0" xfId="0" applyFill="1" applyProtection="1">
      <protection locked="0"/>
    </xf>
    <xf numFmtId="164" fontId="2" fillId="3" borderId="0" xfId="1" applyNumberFormat="1" applyFont="1" applyFill="1" applyBorder="1" applyAlignment="1" applyProtection="1">
      <alignment horizontal="center"/>
      <protection locked="0"/>
    </xf>
    <xf numFmtId="0" fontId="0" fillId="2" borderId="0" xfId="0" applyFill="1" applyBorder="1" applyProtection="1">
      <protection locked="0"/>
    </xf>
    <xf numFmtId="0" fontId="0" fillId="2" borderId="0" xfId="0" applyFill="1" applyBorder="1" applyAlignment="1" applyProtection="1">
      <alignment horizontal="left" indent="1"/>
      <protection locked="0"/>
    </xf>
    <xf numFmtId="0" fontId="3" fillId="2" borderId="0" xfId="0" applyFont="1" applyFill="1" applyBorder="1" applyAlignment="1" applyProtection="1">
      <alignment horizontal="left" indent="2"/>
      <protection locked="0"/>
    </xf>
    <xf numFmtId="0" fontId="3" fillId="2" borderId="0" xfId="0" applyFont="1" applyFill="1" applyBorder="1" applyProtection="1">
      <protection locked="0"/>
    </xf>
    <xf numFmtId="0" fontId="3" fillId="2" borderId="0" xfId="0" applyFont="1" applyFill="1" applyBorder="1" applyAlignment="1" applyProtection="1">
      <alignment horizontal="left"/>
      <protection locked="0"/>
    </xf>
    <xf numFmtId="0" fontId="10" fillId="6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 wrapText="1"/>
    </xf>
    <xf numFmtId="8" fontId="11" fillId="5" borderId="0" xfId="0" applyNumberFormat="1" applyFont="1" applyFill="1" applyAlignment="1">
      <alignment horizontal="right" vertical="center" indent="2"/>
    </xf>
    <xf numFmtId="4" fontId="11" fillId="7" borderId="0" xfId="0" applyNumberFormat="1" applyFont="1" applyFill="1" applyAlignment="1">
      <alignment horizontal="right" vertical="center" indent="2"/>
    </xf>
    <xf numFmtId="0" fontId="11" fillId="5" borderId="0" xfId="0" applyFont="1" applyFill="1" applyAlignment="1">
      <alignment horizontal="right" vertical="center" indent="2"/>
    </xf>
    <xf numFmtId="4" fontId="11" fillId="7" borderId="22" xfId="0" applyNumberFormat="1" applyFont="1" applyFill="1" applyBorder="1" applyAlignment="1">
      <alignment horizontal="right" vertical="center" indent="2"/>
    </xf>
    <xf numFmtId="0" fontId="11" fillId="5" borderId="0" xfId="0" applyFont="1" applyFill="1" applyAlignment="1">
      <alignment horizontal="left" vertical="center" wrapText="1"/>
    </xf>
    <xf numFmtId="4" fontId="11" fillId="5" borderId="0" xfId="0" applyNumberFormat="1" applyFont="1" applyFill="1" applyAlignment="1">
      <alignment horizontal="right" vertical="center" indent="2"/>
    </xf>
    <xf numFmtId="0" fontId="11" fillId="7" borderId="0" xfId="0" applyFont="1" applyFill="1" applyAlignment="1">
      <alignment horizontal="right" vertical="center" indent="2"/>
    </xf>
    <xf numFmtId="4" fontId="11" fillId="5" borderId="22" xfId="0" applyNumberFormat="1" applyFont="1" applyFill="1" applyBorder="1" applyAlignment="1">
      <alignment horizontal="right" vertical="center" indent="2"/>
    </xf>
    <xf numFmtId="0" fontId="11" fillId="5" borderId="0" xfId="0" applyFont="1" applyFill="1" applyAlignment="1">
      <alignment horizontal="right" vertical="center"/>
    </xf>
    <xf numFmtId="8" fontId="11" fillId="7" borderId="22" xfId="0" applyNumberFormat="1" applyFont="1" applyFill="1" applyBorder="1" applyAlignment="1">
      <alignment horizontal="right" vertical="center" indent="2"/>
    </xf>
    <xf numFmtId="0" fontId="10" fillId="6" borderId="23" xfId="0" applyFont="1" applyFill="1" applyBorder="1" applyAlignment="1">
      <alignment horizontal="center" vertical="center" wrapText="1"/>
    </xf>
    <xf numFmtId="0" fontId="10" fillId="6" borderId="26" xfId="0" applyFont="1" applyFill="1" applyBorder="1" applyAlignment="1">
      <alignment horizontal="center" vertical="center" wrapText="1"/>
    </xf>
    <xf numFmtId="0" fontId="10" fillId="6" borderId="27" xfId="0" applyFont="1" applyFill="1" applyBorder="1" applyAlignment="1">
      <alignment horizontal="center" vertical="center" wrapText="1"/>
    </xf>
    <xf numFmtId="0" fontId="12" fillId="7" borderId="26" xfId="3" applyFill="1" applyBorder="1" applyAlignment="1">
      <alignment horizontal="left" vertical="top" wrapText="1"/>
    </xf>
    <xf numFmtId="0" fontId="11" fillId="7" borderId="27" xfId="0" applyFont="1" applyFill="1" applyBorder="1" applyAlignment="1">
      <alignment horizontal="left" vertical="center" wrapText="1"/>
    </xf>
    <xf numFmtId="0" fontId="12" fillId="5" borderId="26" xfId="3" applyFill="1" applyBorder="1" applyAlignment="1">
      <alignment horizontal="left" vertical="top" wrapText="1"/>
    </xf>
    <xf numFmtId="8" fontId="11" fillId="5" borderId="27" xfId="0" applyNumberFormat="1" applyFont="1" applyFill="1" applyBorder="1" applyAlignment="1">
      <alignment horizontal="right" vertical="center" indent="2"/>
    </xf>
    <xf numFmtId="4" fontId="11" fillId="7" borderId="27" xfId="0" applyNumberFormat="1" applyFont="1" applyFill="1" applyBorder="1" applyAlignment="1">
      <alignment horizontal="right" vertical="center" indent="2"/>
    </xf>
    <xf numFmtId="0" fontId="11" fillId="5" borderId="27" xfId="0" applyFont="1" applyFill="1" applyBorder="1" applyAlignment="1">
      <alignment horizontal="right" vertical="center" indent="2"/>
    </xf>
    <xf numFmtId="4" fontId="11" fillId="7" borderId="28" xfId="0" applyNumberFormat="1" applyFont="1" applyFill="1" applyBorder="1" applyAlignment="1">
      <alignment horizontal="right" vertical="center" indent="2"/>
    </xf>
    <xf numFmtId="0" fontId="11" fillId="5" borderId="27" xfId="0" applyFont="1" applyFill="1" applyBorder="1" applyAlignment="1">
      <alignment horizontal="left" vertical="center" wrapText="1"/>
    </xf>
    <xf numFmtId="4" fontId="11" fillId="5" borderId="27" xfId="0" applyNumberFormat="1" applyFont="1" applyFill="1" applyBorder="1" applyAlignment="1">
      <alignment horizontal="right" vertical="center" indent="2"/>
    </xf>
    <xf numFmtId="0" fontId="11" fillId="7" borderId="27" xfId="0" applyFont="1" applyFill="1" applyBorder="1" applyAlignment="1">
      <alignment horizontal="right" vertical="center" indent="2"/>
    </xf>
    <xf numFmtId="4" fontId="11" fillId="5" borderId="28" xfId="0" applyNumberFormat="1" applyFont="1" applyFill="1" applyBorder="1" applyAlignment="1">
      <alignment horizontal="right" vertical="center" indent="2"/>
    </xf>
    <xf numFmtId="0" fontId="11" fillId="5" borderId="27" xfId="0" applyFont="1" applyFill="1" applyBorder="1" applyAlignment="1">
      <alignment horizontal="right" vertical="center"/>
    </xf>
    <xf numFmtId="8" fontId="11" fillId="7" borderId="28" xfId="0" applyNumberFormat="1" applyFont="1" applyFill="1" applyBorder="1" applyAlignment="1">
      <alignment horizontal="right" vertical="center" indent="2"/>
    </xf>
    <xf numFmtId="0" fontId="12" fillId="5" borderId="29" xfId="3" applyFill="1" applyBorder="1" applyAlignment="1">
      <alignment horizontal="left" vertical="top" wrapText="1"/>
    </xf>
    <xf numFmtId="0" fontId="11" fillId="5" borderId="30" xfId="0" applyFont="1" applyFill="1" applyBorder="1" applyAlignment="1">
      <alignment horizontal="right" vertical="center" indent="2"/>
    </xf>
    <xf numFmtId="0" fontId="11" fillId="5" borderId="31" xfId="0" applyFont="1" applyFill="1" applyBorder="1" applyAlignment="1">
      <alignment horizontal="right" vertical="center" indent="2"/>
    </xf>
    <xf numFmtId="4" fontId="0" fillId="0" borderId="0" xfId="0" applyNumberFormat="1"/>
    <xf numFmtId="4" fontId="0" fillId="2" borderId="0" xfId="0" applyNumberFormat="1" applyFill="1" applyBorder="1"/>
    <xf numFmtId="4" fontId="0" fillId="2" borderId="18" xfId="0" applyNumberFormat="1" applyFill="1" applyBorder="1"/>
    <xf numFmtId="0" fontId="10" fillId="6" borderId="24" xfId="0" applyFont="1" applyFill="1" applyBorder="1" applyAlignment="1">
      <alignment vertical="center" wrapText="1"/>
    </xf>
    <xf numFmtId="0" fontId="10" fillId="6" borderId="25" xfId="0" applyFont="1" applyFill="1" applyBorder="1" applyAlignment="1">
      <alignment vertical="center" wrapText="1"/>
    </xf>
    <xf numFmtId="0" fontId="10" fillId="6" borderId="25" xfId="0" applyFont="1" applyFill="1" applyBorder="1" applyAlignment="1">
      <alignment horizontal="centerContinuous" vertical="center" wrapText="1"/>
    </xf>
    <xf numFmtId="0" fontId="10" fillId="6" borderId="24" xfId="0" applyFont="1" applyFill="1" applyBorder="1" applyAlignment="1">
      <alignment horizontal="centerContinuous" vertical="center" wrapText="1"/>
    </xf>
    <xf numFmtId="4" fontId="0" fillId="2" borderId="9" xfId="0" applyNumberFormat="1" applyFill="1" applyBorder="1"/>
    <xf numFmtId="0" fontId="0" fillId="2" borderId="8" xfId="0" applyFill="1" applyBorder="1" applyAlignment="1" applyProtection="1">
      <alignment horizontal="left" indent="1"/>
      <protection locked="0"/>
    </xf>
    <xf numFmtId="0" fontId="0" fillId="2" borderId="9" xfId="0" applyFill="1" applyBorder="1" applyAlignment="1" applyProtection="1">
      <alignment horizontal="left" indent="1"/>
      <protection locked="0"/>
    </xf>
    <xf numFmtId="4" fontId="3" fillId="2" borderId="0" xfId="0" applyNumberFormat="1" applyFont="1" applyFill="1" applyBorder="1"/>
    <xf numFmtId="4" fontId="3" fillId="2" borderId="18" xfId="0" applyNumberFormat="1" applyFont="1" applyFill="1" applyBorder="1"/>
    <xf numFmtId="0" fontId="3" fillId="2" borderId="32" xfId="0" applyFont="1" applyFill="1" applyBorder="1" applyProtection="1">
      <protection locked="0"/>
    </xf>
    <xf numFmtId="0" fontId="3" fillId="2" borderId="33" xfId="0" applyFont="1" applyFill="1" applyBorder="1" applyProtection="1">
      <protection locked="0"/>
    </xf>
    <xf numFmtId="4" fontId="3" fillId="2" borderId="33" xfId="0" applyNumberFormat="1" applyFont="1" applyFill="1" applyBorder="1"/>
    <xf numFmtId="0" fontId="0" fillId="2" borderId="33" xfId="0" applyFill="1" applyBorder="1"/>
    <xf numFmtId="0" fontId="14" fillId="2" borderId="0" xfId="0" applyFont="1" applyFill="1" applyBorder="1" applyAlignment="1">
      <alignment horizontal="center"/>
    </xf>
    <xf numFmtId="0" fontId="7" fillId="2" borderId="0" xfId="0" applyFont="1" applyFill="1" applyBorder="1" applyAlignment="1" applyProtection="1">
      <alignment horizontal="center"/>
      <protection locked="0"/>
    </xf>
    <xf numFmtId="10" fontId="0" fillId="2" borderId="0" xfId="0" applyNumberFormat="1" applyFill="1" applyBorder="1"/>
    <xf numFmtId="10" fontId="0" fillId="2" borderId="0" xfId="2" applyNumberFormat="1" applyFont="1" applyFill="1" applyBorder="1"/>
    <xf numFmtId="10" fontId="0" fillId="2" borderId="18" xfId="2" applyNumberFormat="1" applyFont="1" applyFill="1" applyBorder="1"/>
    <xf numFmtId="4" fontId="0" fillId="2" borderId="35" xfId="0" applyNumberFormat="1" applyFill="1" applyBorder="1"/>
    <xf numFmtId="0" fontId="0" fillId="2" borderId="35" xfId="0" applyFill="1" applyBorder="1"/>
    <xf numFmtId="4" fontId="3" fillId="2" borderId="36" xfId="0" applyNumberFormat="1" applyFont="1" applyFill="1" applyBorder="1"/>
    <xf numFmtId="164" fontId="2" fillId="3" borderId="19" xfId="1" applyNumberFormat="1" applyFont="1" applyFill="1" applyBorder="1" applyAlignment="1" applyProtection="1">
      <alignment horizontal="center"/>
      <protection locked="0"/>
    </xf>
    <xf numFmtId="164" fontId="2" fillId="3" borderId="37" xfId="1" applyNumberFormat="1" applyFont="1" applyFill="1" applyBorder="1" applyAlignment="1" applyProtection="1">
      <alignment horizontal="center"/>
      <protection locked="0"/>
    </xf>
    <xf numFmtId="164" fontId="2" fillId="3" borderId="38" xfId="1" applyNumberFormat="1" applyFont="1" applyFill="1" applyBorder="1" applyAlignment="1" applyProtection="1">
      <alignment horizontal="center"/>
      <protection locked="0"/>
    </xf>
    <xf numFmtId="165" fontId="2" fillId="4" borderId="37" xfId="1" applyNumberFormat="1" applyFont="1" applyFill="1" applyBorder="1" applyAlignment="1" applyProtection="1">
      <alignment horizontal="center"/>
      <protection locked="0"/>
    </xf>
    <xf numFmtId="165" fontId="2" fillId="4" borderId="39" xfId="1" applyNumberFormat="1" applyFont="1" applyFill="1" applyBorder="1" applyAlignment="1" applyProtection="1">
      <alignment horizontal="center"/>
      <protection locked="0"/>
    </xf>
    <xf numFmtId="0" fontId="2" fillId="3" borderId="0" xfId="0" applyFont="1" applyFill="1" applyBorder="1" applyAlignment="1">
      <alignment horizontal="centerContinuous"/>
    </xf>
    <xf numFmtId="0" fontId="0" fillId="3" borderId="0" xfId="0" applyFill="1" applyBorder="1" applyAlignment="1">
      <alignment horizontal="centerContinuous"/>
    </xf>
    <xf numFmtId="0" fontId="0" fillId="3" borderId="17" xfId="0" applyFill="1" applyBorder="1" applyAlignment="1">
      <alignment horizontal="centerContinuous"/>
    </xf>
    <xf numFmtId="2" fontId="0" fillId="2" borderId="9" xfId="0" applyNumberFormat="1" applyFill="1" applyBorder="1"/>
    <xf numFmtId="2" fontId="0" fillId="2" borderId="0" xfId="0" applyNumberFormat="1" applyFill="1" applyBorder="1"/>
    <xf numFmtId="2" fontId="0" fillId="2" borderId="17" xfId="0" applyNumberFormat="1" applyFill="1" applyBorder="1"/>
    <xf numFmtId="2" fontId="3" fillId="2" borderId="0" xfId="0" applyNumberFormat="1" applyFont="1" applyFill="1" applyBorder="1"/>
    <xf numFmtId="2" fontId="3" fillId="2" borderId="40" xfId="0" applyNumberFormat="1" applyFont="1" applyFill="1" applyBorder="1"/>
    <xf numFmtId="2" fontId="3" fillId="2" borderId="17" xfId="0" applyNumberFormat="1" applyFont="1" applyFill="1" applyBorder="1"/>
    <xf numFmtId="4" fontId="3" fillId="2" borderId="41" xfId="0" applyNumberFormat="1" applyFont="1" applyFill="1" applyBorder="1"/>
    <xf numFmtId="2" fontId="0" fillId="2" borderId="9" xfId="0" applyNumberFormat="1" applyFill="1" applyBorder="1" applyAlignment="1">
      <alignment horizontal="center"/>
    </xf>
    <xf numFmtId="2" fontId="3" fillId="2" borderId="33" xfId="0" applyNumberFormat="1" applyFont="1" applyFill="1" applyBorder="1"/>
    <xf numFmtId="10" fontId="0" fillId="2" borderId="17" xfId="2" applyNumberFormat="1" applyFont="1" applyFill="1" applyBorder="1"/>
    <xf numFmtId="0" fontId="0" fillId="2" borderId="9" xfId="0" applyFill="1" applyBorder="1" applyProtection="1">
      <protection locked="0"/>
    </xf>
    <xf numFmtId="10" fontId="0" fillId="2" borderId="9" xfId="2" applyNumberFormat="1" applyFont="1" applyFill="1" applyBorder="1"/>
    <xf numFmtId="0" fontId="13" fillId="0" borderId="8" xfId="0" applyFont="1" applyBorder="1" applyAlignment="1" applyProtection="1">
      <alignment horizontal="left" indent="1"/>
      <protection locked="0"/>
    </xf>
    <xf numFmtId="10" fontId="0" fillId="2" borderId="35" xfId="2" applyNumberFormat="1" applyFont="1" applyFill="1" applyBorder="1"/>
    <xf numFmtId="10" fontId="0" fillId="2" borderId="10" xfId="2" applyNumberFormat="1" applyFont="1" applyFill="1" applyBorder="1"/>
    <xf numFmtId="0" fontId="15" fillId="2" borderId="15" xfId="0" applyFont="1" applyFill="1" applyBorder="1"/>
    <xf numFmtId="10" fontId="0" fillId="2" borderId="11" xfId="2" applyNumberFormat="1" applyFont="1" applyFill="1" applyBorder="1"/>
    <xf numFmtId="2" fontId="0" fillId="2" borderId="11" xfId="0" applyNumberFormat="1" applyFill="1" applyBorder="1"/>
    <xf numFmtId="0" fontId="0" fillId="2" borderId="43" xfId="0" applyFill="1" applyBorder="1"/>
    <xf numFmtId="0" fontId="0" fillId="2" borderId="5" xfId="0" applyFill="1" applyBorder="1"/>
    <xf numFmtId="0" fontId="0" fillId="3" borderId="43" xfId="0" applyFill="1" applyBorder="1"/>
    <xf numFmtId="0" fontId="3" fillId="2" borderId="43" xfId="0" applyFont="1" applyFill="1" applyBorder="1"/>
    <xf numFmtId="0" fontId="2" fillId="3" borderId="43" xfId="0" applyFont="1" applyFill="1" applyBorder="1"/>
    <xf numFmtId="0" fontId="6" fillId="0" borderId="0" xfId="0" applyFont="1" applyBorder="1" applyProtection="1">
      <protection locked="0"/>
    </xf>
    <xf numFmtId="0" fontId="7" fillId="0" borderId="0" xfId="0" applyFont="1" applyBorder="1" applyAlignment="1" applyProtection="1">
      <alignment horizontal="center" vertical="center"/>
      <protection locked="0"/>
    </xf>
    <xf numFmtId="0" fontId="4" fillId="3" borderId="0" xfId="0" applyFont="1" applyFill="1" applyBorder="1" applyAlignment="1" applyProtection="1">
      <alignment horizontal="center" vertical="center"/>
      <protection locked="0"/>
    </xf>
    <xf numFmtId="0" fontId="5" fillId="0" borderId="43" xfId="0" applyFont="1" applyBorder="1" applyAlignment="1" applyProtection="1">
      <alignment vertical="top"/>
      <protection locked="0"/>
    </xf>
    <xf numFmtId="0" fontId="3" fillId="2" borderId="43" xfId="0" applyFont="1" applyFill="1" applyBorder="1" applyProtection="1">
      <protection locked="0"/>
    </xf>
    <xf numFmtId="0" fontId="3" fillId="2" borderId="43" xfId="0" applyFont="1" applyFill="1" applyBorder="1" applyAlignment="1" applyProtection="1">
      <alignment horizontal="left" indent="2"/>
      <protection locked="0"/>
    </xf>
    <xf numFmtId="0" fontId="0" fillId="2" borderId="43" xfId="0" applyFill="1" applyBorder="1" applyAlignment="1" applyProtection="1">
      <alignment horizontal="left" indent="1"/>
      <protection locked="0"/>
    </xf>
    <xf numFmtId="0" fontId="3" fillId="2" borderId="43" xfId="0" applyFont="1" applyFill="1" applyBorder="1" applyAlignment="1" applyProtection="1">
      <alignment horizontal="left"/>
      <protection locked="0"/>
    </xf>
    <xf numFmtId="0" fontId="3" fillId="2" borderId="43" xfId="0" applyFont="1" applyFill="1" applyBorder="1" applyAlignment="1" applyProtection="1">
      <alignment horizontal="left" indent="1"/>
      <protection locked="0"/>
    </xf>
    <xf numFmtId="0" fontId="0" fillId="2" borderId="0" xfId="0" applyFont="1" applyFill="1" applyBorder="1"/>
    <xf numFmtId="0" fontId="13" fillId="2" borderId="43" xfId="0" applyFont="1" applyFill="1" applyBorder="1" applyAlignment="1" applyProtection="1">
      <alignment horizontal="left" indent="1"/>
      <protection locked="0"/>
    </xf>
    <xf numFmtId="0" fontId="13" fillId="2" borderId="8" xfId="0" applyFont="1" applyFill="1" applyBorder="1" applyAlignment="1" applyProtection="1">
      <alignment horizontal="left" indent="1"/>
      <protection locked="0"/>
    </xf>
    <xf numFmtId="0" fontId="0" fillId="2" borderId="3" xfId="0" applyFill="1" applyBorder="1" applyAlignment="1" applyProtection="1">
      <alignment horizontal="left" indent="1"/>
      <protection locked="0"/>
    </xf>
    <xf numFmtId="4" fontId="3" fillId="2" borderId="3" xfId="0" applyNumberFormat="1" applyFont="1" applyFill="1" applyBorder="1"/>
    <xf numFmtId="0" fontId="0" fillId="2" borderId="43" xfId="0" applyFont="1" applyFill="1" applyBorder="1" applyProtection="1">
      <protection locked="0"/>
    </xf>
    <xf numFmtId="10" fontId="1" fillId="2" borderId="0" xfId="2" applyNumberFormat="1" applyFont="1" applyFill="1" applyBorder="1"/>
    <xf numFmtId="0" fontId="11" fillId="7" borderId="0" xfId="0" applyFont="1" applyFill="1" applyAlignment="1">
      <alignment horizontal="right" vertical="center"/>
    </xf>
    <xf numFmtId="4" fontId="11" fillId="7" borderId="0" xfId="0" applyNumberFormat="1" applyFont="1" applyFill="1" applyAlignment="1">
      <alignment horizontal="right" vertical="center"/>
    </xf>
    <xf numFmtId="4" fontId="11" fillId="7" borderId="22" xfId="0" applyNumberFormat="1" applyFont="1" applyFill="1" applyBorder="1" applyAlignment="1">
      <alignment horizontal="right" vertical="center"/>
    </xf>
    <xf numFmtId="4" fontId="11" fillId="5" borderId="0" xfId="0" applyNumberFormat="1" applyFont="1" applyFill="1" applyAlignment="1">
      <alignment horizontal="right" vertical="center"/>
    </xf>
    <xf numFmtId="4" fontId="11" fillId="5" borderId="22" xfId="0" applyNumberFormat="1" applyFont="1" applyFill="1" applyBorder="1" applyAlignment="1">
      <alignment horizontal="right" vertical="center"/>
    </xf>
    <xf numFmtId="0" fontId="11" fillId="5" borderId="22" xfId="0" applyFont="1" applyFill="1" applyBorder="1" applyAlignment="1">
      <alignment horizontal="right" vertical="center"/>
    </xf>
    <xf numFmtId="0" fontId="11" fillId="7" borderId="27" xfId="0" applyFont="1" applyFill="1" applyBorder="1" applyAlignment="1">
      <alignment horizontal="right" vertical="center"/>
    </xf>
    <xf numFmtId="4" fontId="11" fillId="7" borderId="27" xfId="0" applyNumberFormat="1" applyFont="1" applyFill="1" applyBorder="1" applyAlignment="1">
      <alignment horizontal="right" vertical="center"/>
    </xf>
    <xf numFmtId="4" fontId="11" fillId="7" borderId="28" xfId="0" applyNumberFormat="1" applyFont="1" applyFill="1" applyBorder="1" applyAlignment="1">
      <alignment horizontal="right" vertical="center"/>
    </xf>
    <xf numFmtId="4" fontId="11" fillId="5" borderId="27" xfId="0" applyNumberFormat="1" applyFont="1" applyFill="1" applyBorder="1" applyAlignment="1">
      <alignment horizontal="right" vertical="center"/>
    </xf>
    <xf numFmtId="4" fontId="11" fillId="5" borderId="28" xfId="0" applyNumberFormat="1" applyFont="1" applyFill="1" applyBorder="1" applyAlignment="1">
      <alignment horizontal="right" vertical="center"/>
    </xf>
    <xf numFmtId="8" fontId="11" fillId="5" borderId="30" xfId="0" applyNumberFormat="1" applyFont="1" applyFill="1" applyBorder="1" applyAlignment="1">
      <alignment horizontal="right" vertical="center" indent="2"/>
    </xf>
    <xf numFmtId="8" fontId="11" fillId="5" borderId="31" xfId="0" applyNumberFormat="1" applyFont="1" applyFill="1" applyBorder="1" applyAlignment="1">
      <alignment horizontal="right" vertical="center" indent="2"/>
    </xf>
    <xf numFmtId="0" fontId="16" fillId="2" borderId="43" xfId="0" applyFont="1" applyFill="1" applyBorder="1" applyAlignment="1" applyProtection="1">
      <alignment horizontal="left" indent="1"/>
      <protection locked="0"/>
    </xf>
    <xf numFmtId="4" fontId="3" fillId="2" borderId="17" xfId="0" applyNumberFormat="1" applyFont="1" applyFill="1" applyBorder="1"/>
    <xf numFmtId="4" fontId="3" fillId="2" borderId="4" xfId="0" applyNumberFormat="1" applyFont="1" applyFill="1" applyBorder="1"/>
    <xf numFmtId="10" fontId="1" fillId="2" borderId="17" xfId="2" applyNumberFormat="1" applyFont="1" applyFill="1" applyBorder="1"/>
    <xf numFmtId="0" fontId="3" fillId="2" borderId="2" xfId="0" applyFont="1" applyFill="1" applyBorder="1" applyAlignment="1" applyProtection="1">
      <alignment horizontal="left" indent="1"/>
      <protection locked="0"/>
    </xf>
    <xf numFmtId="0" fontId="3" fillId="2" borderId="8" xfId="0" applyFont="1" applyFill="1" applyBorder="1" applyProtection="1">
      <protection locked="0"/>
    </xf>
    <xf numFmtId="164" fontId="2" fillId="3" borderId="18" xfId="1" applyNumberFormat="1" applyFont="1" applyFill="1" applyBorder="1" applyAlignment="1" applyProtection="1">
      <alignment horizontal="center"/>
      <protection locked="0"/>
    </xf>
    <xf numFmtId="165" fontId="2" fillId="4" borderId="0" xfId="1" applyNumberFormat="1" applyFont="1" applyFill="1" applyBorder="1" applyAlignment="1" applyProtection="1">
      <alignment horizontal="center"/>
      <protection locked="0"/>
    </xf>
    <xf numFmtId="165" fontId="2" fillId="4" borderId="17" xfId="1" applyNumberFormat="1" applyFont="1" applyFill="1" applyBorder="1" applyAlignment="1" applyProtection="1">
      <alignment horizontal="center"/>
      <protection locked="0"/>
    </xf>
    <xf numFmtId="4" fontId="3" fillId="2" borderId="34" xfId="0" applyNumberFormat="1" applyFont="1" applyFill="1" applyBorder="1"/>
    <xf numFmtId="4" fontId="0" fillId="2" borderId="0" xfId="0" applyNumberFormat="1" applyFont="1" applyFill="1" applyBorder="1"/>
    <xf numFmtId="4" fontId="0" fillId="2" borderId="17" xfId="0" applyNumberFormat="1" applyFont="1" applyFill="1" applyBorder="1"/>
    <xf numFmtId="0" fontId="0" fillId="2" borderId="17" xfId="0" applyFont="1" applyFill="1" applyBorder="1"/>
    <xf numFmtId="0" fontId="3" fillId="2" borderId="32" xfId="0" applyFont="1" applyFill="1" applyBorder="1"/>
    <xf numFmtId="0" fontId="3" fillId="2" borderId="44" xfId="0" applyFont="1" applyFill="1" applyBorder="1"/>
    <xf numFmtId="0" fontId="0" fillId="2" borderId="45" xfId="0" applyFill="1" applyBorder="1"/>
    <xf numFmtId="8" fontId="0" fillId="2" borderId="0" xfId="0" applyNumberFormat="1" applyFill="1" applyBorder="1"/>
    <xf numFmtId="0" fontId="0" fillId="2" borderId="33" xfId="0" applyFont="1" applyFill="1" applyBorder="1"/>
    <xf numFmtId="0" fontId="3" fillId="2" borderId="33" xfId="0" applyFont="1" applyFill="1" applyBorder="1"/>
    <xf numFmtId="0" fontId="3" fillId="2" borderId="34" xfId="0" applyFont="1" applyFill="1" applyBorder="1"/>
    <xf numFmtId="0" fontId="0" fillId="2" borderId="6" xfId="0" applyFont="1" applyFill="1" applyBorder="1"/>
    <xf numFmtId="0" fontId="3" fillId="2" borderId="17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4" fontId="0" fillId="2" borderId="18" xfId="0" applyNumberFormat="1" applyFont="1" applyFill="1" applyBorder="1"/>
    <xf numFmtId="8" fontId="0" fillId="2" borderId="18" xfId="0" applyNumberFormat="1" applyFill="1" applyBorder="1"/>
    <xf numFmtId="0" fontId="0" fillId="2" borderId="35" xfId="0" applyFont="1" applyFill="1" applyBorder="1"/>
    <xf numFmtId="0" fontId="3" fillId="2" borderId="41" xfId="0" applyFont="1" applyFill="1" applyBorder="1"/>
    <xf numFmtId="0" fontId="3" fillId="2" borderId="36" xfId="0" applyFont="1" applyFill="1" applyBorder="1"/>
    <xf numFmtId="0" fontId="0" fillId="0" borderId="0" xfId="0" applyFill="1" applyBorder="1"/>
    <xf numFmtId="0" fontId="3" fillId="2" borderId="3" xfId="0" applyFont="1" applyFill="1" applyBorder="1"/>
    <xf numFmtId="0" fontId="3" fillId="2" borderId="46" xfId="0" applyFont="1" applyFill="1" applyBorder="1"/>
    <xf numFmtId="2" fontId="0" fillId="2" borderId="0" xfId="0" applyNumberFormat="1" applyFont="1" applyFill="1" applyBorder="1"/>
    <xf numFmtId="2" fontId="0" fillId="2" borderId="17" xfId="0" applyNumberFormat="1" applyFont="1" applyFill="1" applyBorder="1"/>
    <xf numFmtId="4" fontId="0" fillId="2" borderId="42" xfId="0" applyNumberFormat="1" applyFont="1" applyFill="1" applyBorder="1"/>
    <xf numFmtId="0" fontId="4" fillId="2" borderId="0" xfId="0" applyFont="1" applyFill="1" applyBorder="1"/>
    <xf numFmtId="0" fontId="4" fillId="2" borderId="6" xfId="0" applyFont="1" applyFill="1" applyBorder="1"/>
    <xf numFmtId="4" fontId="3" fillId="2" borderId="47" xfId="0" applyNumberFormat="1" applyFont="1" applyFill="1" applyBorder="1"/>
    <xf numFmtId="10" fontId="0" fillId="2" borderId="1" xfId="2" applyNumberFormat="1" applyFont="1" applyFill="1" applyBorder="1"/>
    <xf numFmtId="4" fontId="3" fillId="2" borderId="1" xfId="0" applyNumberFormat="1" applyFont="1" applyFill="1" applyBorder="1"/>
    <xf numFmtId="4" fontId="3" fillId="2" borderId="48" xfId="0" applyNumberFormat="1" applyFont="1" applyFill="1" applyBorder="1"/>
    <xf numFmtId="10" fontId="1" fillId="2" borderId="1" xfId="2" applyNumberFormat="1" applyFont="1" applyFill="1" applyBorder="1"/>
    <xf numFmtId="0" fontId="0" fillId="2" borderId="1" xfId="0" applyFill="1" applyBorder="1"/>
    <xf numFmtId="2" fontId="3" fillId="2" borderId="1" xfId="0" applyNumberFormat="1" applyFont="1" applyFill="1" applyBorder="1"/>
    <xf numFmtId="164" fontId="2" fillId="3" borderId="49" xfId="1" applyNumberFormat="1" applyFont="1" applyFill="1" applyBorder="1" applyAlignment="1" applyProtection="1">
      <alignment horizontal="center"/>
      <protection locked="0"/>
    </xf>
    <xf numFmtId="0" fontId="17" fillId="2" borderId="21" xfId="0" applyFont="1" applyFill="1" applyBorder="1" applyAlignment="1" applyProtection="1">
      <alignment vertical="center"/>
      <protection locked="0"/>
    </xf>
    <xf numFmtId="0" fontId="17" fillId="2" borderId="0" xfId="0" applyFont="1" applyFill="1" applyAlignment="1" applyProtection="1">
      <alignment vertical="center"/>
      <protection locked="0"/>
    </xf>
    <xf numFmtId="0" fontId="0" fillId="2" borderId="20" xfId="0" applyFill="1" applyBorder="1" applyProtection="1">
      <protection locked="0"/>
    </xf>
    <xf numFmtId="0" fontId="6" fillId="2" borderId="20" xfId="0" applyFont="1" applyFill="1" applyBorder="1" applyProtection="1">
      <protection locked="0"/>
    </xf>
    <xf numFmtId="167" fontId="0" fillId="2" borderId="0" xfId="1" applyNumberFormat="1" applyFont="1" applyFill="1" applyBorder="1" applyProtection="1">
      <protection locked="0"/>
    </xf>
    <xf numFmtId="167" fontId="1" fillId="2" borderId="20" xfId="1" applyNumberFormat="1" applyFont="1" applyFill="1" applyBorder="1" applyProtection="1">
      <protection locked="0"/>
    </xf>
    <xf numFmtId="0" fontId="17" fillId="2" borderId="43" xfId="0" applyFont="1" applyFill="1" applyBorder="1" applyAlignment="1" applyProtection="1">
      <alignment vertical="center"/>
      <protection locked="0"/>
    </xf>
    <xf numFmtId="0" fontId="0" fillId="2" borderId="43" xfId="0" applyFill="1" applyBorder="1" applyProtection="1">
      <protection locked="0"/>
    </xf>
    <xf numFmtId="0" fontId="17" fillId="2" borderId="50" xfId="0" applyFont="1" applyFill="1" applyBorder="1" applyAlignment="1" applyProtection="1">
      <alignment horizontal="left" indent="1"/>
      <protection locked="0"/>
    </xf>
    <xf numFmtId="0" fontId="17" fillId="2" borderId="43" xfId="0" applyFont="1" applyFill="1" applyBorder="1" applyProtection="1">
      <protection locked="0"/>
    </xf>
    <xf numFmtId="0" fontId="0" fillId="2" borderId="50" xfId="0" applyFill="1" applyBorder="1" applyAlignment="1" applyProtection="1">
      <alignment horizontal="left" indent="2"/>
      <protection locked="0"/>
    </xf>
    <xf numFmtId="0" fontId="17" fillId="2" borderId="51" xfId="0" applyFont="1" applyFill="1" applyBorder="1" applyAlignment="1" applyProtection="1">
      <alignment vertical="center"/>
      <protection locked="0"/>
    </xf>
    <xf numFmtId="0" fontId="17" fillId="2" borderId="17" xfId="0" applyFont="1" applyFill="1" applyBorder="1" applyAlignment="1" applyProtection="1">
      <alignment vertical="center"/>
      <protection locked="0"/>
    </xf>
    <xf numFmtId="0" fontId="0" fillId="2" borderId="17" xfId="0" applyFill="1" applyBorder="1" applyProtection="1">
      <protection locked="0"/>
    </xf>
    <xf numFmtId="10" fontId="0" fillId="0" borderId="17" xfId="2" applyNumberFormat="1" applyFont="1" applyBorder="1"/>
    <xf numFmtId="2" fontId="8" fillId="2" borderId="17" xfId="0" applyNumberFormat="1" applyFont="1" applyFill="1" applyBorder="1" applyAlignment="1" applyProtection="1">
      <alignment horizontal="right"/>
      <protection locked="0"/>
    </xf>
    <xf numFmtId="10" fontId="8" fillId="2" borderId="17" xfId="0" applyNumberFormat="1" applyFont="1" applyFill="1" applyBorder="1" applyProtection="1">
      <protection locked="0"/>
    </xf>
    <xf numFmtId="10" fontId="1" fillId="2" borderId="52" xfId="1" applyNumberFormat="1" applyFont="1" applyFill="1" applyBorder="1" applyProtection="1">
      <protection locked="0"/>
    </xf>
    <xf numFmtId="10" fontId="0" fillId="2" borderId="17" xfId="2" applyNumberFormat="1" applyFont="1" applyFill="1" applyBorder="1" applyProtection="1">
      <protection locked="0"/>
    </xf>
    <xf numFmtId="169" fontId="20" fillId="2" borderId="17" xfId="0" applyNumberFormat="1" applyFont="1" applyFill="1" applyBorder="1" applyProtection="1">
      <protection locked="0"/>
    </xf>
    <xf numFmtId="9" fontId="1" fillId="2" borderId="17" xfId="2" applyFont="1" applyFill="1" applyBorder="1" applyProtection="1">
      <protection locked="0"/>
    </xf>
    <xf numFmtId="168" fontId="1" fillId="2" borderId="52" xfId="2" applyNumberFormat="1" applyFont="1" applyFill="1" applyBorder="1" applyProtection="1">
      <protection locked="0"/>
    </xf>
    <xf numFmtId="10" fontId="1" fillId="2" borderId="53" xfId="1" applyNumberFormat="1" applyFont="1" applyFill="1" applyBorder="1" applyProtection="1">
      <protection locked="0"/>
    </xf>
    <xf numFmtId="0" fontId="2" fillId="3" borderId="43" xfId="0" applyFont="1" applyFill="1" applyBorder="1" applyAlignment="1">
      <alignment horizontal="centerContinuous"/>
    </xf>
    <xf numFmtId="166" fontId="0" fillId="2" borderId="17" xfId="0" applyNumberFormat="1" applyFill="1" applyBorder="1" applyProtection="1">
      <protection locked="0"/>
    </xf>
    <xf numFmtId="9" fontId="8" fillId="2" borderId="17" xfId="2" applyFont="1" applyFill="1" applyBorder="1" applyProtection="1">
      <protection locked="0"/>
    </xf>
    <xf numFmtId="0" fontId="24" fillId="2" borderId="0" xfId="4" applyFont="1" applyFill="1" applyBorder="1" applyAlignment="1" applyProtection="1">
      <alignment horizontal="left"/>
      <protection locked="0"/>
    </xf>
    <xf numFmtId="0" fontId="25" fillId="8" borderId="43" xfId="0" applyFont="1" applyFill="1" applyBorder="1" applyAlignment="1" applyProtection="1">
      <alignment horizontal="centerContinuous"/>
      <protection locked="0"/>
    </xf>
    <xf numFmtId="0" fontId="0" fillId="8" borderId="0" xfId="0" applyFill="1" applyBorder="1" applyAlignment="1" applyProtection="1">
      <alignment horizontal="centerContinuous"/>
      <protection locked="0"/>
    </xf>
    <xf numFmtId="0" fontId="23" fillId="2" borderId="43" xfId="4" applyFont="1" applyFill="1" applyBorder="1" applyAlignment="1" applyProtection="1">
      <alignment horizontal="left"/>
      <protection locked="0"/>
    </xf>
    <xf numFmtId="0" fontId="24" fillId="2" borderId="43" xfId="4" applyFont="1" applyFill="1" applyBorder="1" applyAlignment="1" applyProtection="1">
      <alignment horizontal="left"/>
      <protection locked="0"/>
    </xf>
    <xf numFmtId="0" fontId="0" fillId="8" borderId="17" xfId="0" applyFill="1" applyBorder="1" applyAlignment="1" applyProtection="1">
      <alignment horizontal="centerContinuous"/>
      <protection locked="0"/>
    </xf>
    <xf numFmtId="166" fontId="3" fillId="2" borderId="17" xfId="0" applyNumberFormat="1" applyFont="1" applyFill="1" applyBorder="1" applyProtection="1">
      <protection locked="0"/>
    </xf>
    <xf numFmtId="0" fontId="0" fillId="2" borderId="54" xfId="0" applyFill="1" applyBorder="1"/>
    <xf numFmtId="43" fontId="3" fillId="2" borderId="17" xfId="0" applyNumberFormat="1" applyFont="1" applyFill="1" applyBorder="1"/>
    <xf numFmtId="0" fontId="20" fillId="2" borderId="43" xfId="4" applyFont="1" applyFill="1" applyBorder="1" applyAlignment="1" applyProtection="1">
      <alignment horizontal="left"/>
      <protection locked="0"/>
    </xf>
    <xf numFmtId="0" fontId="6" fillId="2" borderId="43" xfId="4" applyFont="1" applyFill="1" applyBorder="1" applyAlignment="1" applyProtection="1">
      <alignment horizontal="left" indent="1"/>
      <protection locked="0"/>
    </xf>
    <xf numFmtId="170" fontId="1" fillId="2" borderId="17" xfId="1" applyNumberFormat="1" applyFont="1" applyFill="1" applyBorder="1" applyProtection="1">
      <protection locked="0"/>
    </xf>
    <xf numFmtId="166" fontId="1" fillId="2" borderId="17" xfId="1" applyNumberFormat="1" applyFont="1" applyFill="1" applyBorder="1" applyProtection="1">
      <protection locked="0"/>
    </xf>
    <xf numFmtId="166" fontId="8" fillId="2" borderId="17" xfId="1" applyNumberFormat="1" applyFont="1" applyFill="1" applyBorder="1" applyProtection="1">
      <protection locked="0"/>
    </xf>
    <xf numFmtId="3" fontId="1" fillId="2" borderId="17" xfId="1" applyNumberFormat="1" applyFont="1" applyFill="1" applyBorder="1" applyProtection="1">
      <protection locked="0"/>
    </xf>
    <xf numFmtId="37" fontId="8" fillId="2" borderId="17" xfId="0" applyNumberFormat="1" applyFont="1" applyFill="1" applyBorder="1" applyProtection="1">
      <protection locked="0"/>
    </xf>
    <xf numFmtId="4" fontId="1" fillId="2" borderId="17" xfId="1" applyNumberFormat="1" applyFont="1" applyFill="1" applyBorder="1" applyProtection="1">
      <protection locked="0"/>
    </xf>
    <xf numFmtId="170" fontId="3" fillId="2" borderId="17" xfId="1" applyNumberFormat="1" applyFont="1" applyFill="1" applyBorder="1" applyProtection="1">
      <protection locked="0"/>
    </xf>
    <xf numFmtId="0" fontId="21" fillId="2" borderId="55" xfId="0" applyFont="1" applyFill="1" applyBorder="1" applyProtection="1">
      <protection locked="0"/>
    </xf>
    <xf numFmtId="0" fontId="0" fillId="2" borderId="56" xfId="0" applyFill="1" applyBorder="1" applyProtection="1">
      <protection locked="0"/>
    </xf>
    <xf numFmtId="0" fontId="0" fillId="2" borderId="57" xfId="0" applyFill="1" applyBorder="1" applyProtection="1">
      <protection locked="0"/>
    </xf>
    <xf numFmtId="0" fontId="3" fillId="2" borderId="4" xfId="0" applyFont="1" applyFill="1" applyBorder="1"/>
    <xf numFmtId="0" fontId="3" fillId="2" borderId="18" xfId="0" applyFont="1" applyFill="1" applyBorder="1"/>
    <xf numFmtId="0" fontId="3" fillId="2" borderId="15" xfId="0" applyFont="1" applyFill="1" applyBorder="1"/>
    <xf numFmtId="0" fontId="16" fillId="2" borderId="12" xfId="0" applyFont="1" applyFill="1" applyBorder="1" applyAlignment="1" applyProtection="1">
      <alignment horizontal="left" indent="1"/>
      <protection locked="0"/>
    </xf>
    <xf numFmtId="10" fontId="0" fillId="2" borderId="13" xfId="2" applyNumberFormat="1" applyFont="1" applyFill="1" applyBorder="1"/>
    <xf numFmtId="2" fontId="3" fillId="2" borderId="13" xfId="0" applyNumberFormat="1" applyFont="1" applyFill="1" applyBorder="1"/>
    <xf numFmtId="2" fontId="3" fillId="2" borderId="14" xfId="0" applyNumberFormat="1" applyFont="1" applyFill="1" applyBorder="1"/>
    <xf numFmtId="0" fontId="10" fillId="6" borderId="24" xfId="0" applyFont="1" applyFill="1" applyBorder="1" applyAlignment="1">
      <alignment horizontal="center" vertical="center" wrapText="1"/>
    </xf>
    <xf numFmtId="0" fontId="10" fillId="6" borderId="0" xfId="0" applyFont="1" applyFill="1" applyBorder="1" applyAlignment="1">
      <alignment horizontal="center" vertical="center" wrapText="1"/>
    </xf>
    <xf numFmtId="0" fontId="10" fillId="6" borderId="25" xfId="0" applyFont="1" applyFill="1" applyBorder="1" applyAlignment="1">
      <alignment horizontal="center" vertical="center" wrapText="1"/>
    </xf>
    <xf numFmtId="0" fontId="10" fillId="6" borderId="27" xfId="0" applyFont="1" applyFill="1" applyBorder="1" applyAlignment="1">
      <alignment horizontal="center" vertical="center" wrapText="1"/>
    </xf>
    <xf numFmtId="0" fontId="0" fillId="3" borderId="1" xfId="0" applyFill="1" applyBorder="1"/>
    <xf numFmtId="0" fontId="0" fillId="2" borderId="59" xfId="0" applyFill="1" applyBorder="1"/>
    <xf numFmtId="0" fontId="0" fillId="2" borderId="58" xfId="0" applyFill="1" applyBorder="1"/>
    <xf numFmtId="0" fontId="0" fillId="3" borderId="1" xfId="0" applyFill="1" applyBorder="1" applyAlignment="1">
      <alignment horizontal="centerContinuous"/>
    </xf>
    <xf numFmtId="165" fontId="2" fillId="4" borderId="49" xfId="1" applyNumberFormat="1" applyFont="1" applyFill="1" applyBorder="1" applyAlignment="1" applyProtection="1">
      <alignment horizontal="center"/>
      <protection locked="0"/>
    </xf>
    <xf numFmtId="165" fontId="2" fillId="4" borderId="1" xfId="1" applyNumberFormat="1" applyFont="1" applyFill="1" applyBorder="1" applyAlignment="1" applyProtection="1">
      <alignment horizontal="center"/>
      <protection locked="0"/>
    </xf>
    <xf numFmtId="2" fontId="3" fillId="2" borderId="47" xfId="0" applyNumberFormat="1" applyFont="1" applyFill="1" applyBorder="1"/>
    <xf numFmtId="2" fontId="0" fillId="2" borderId="60" xfId="0" applyNumberFormat="1" applyFill="1" applyBorder="1"/>
    <xf numFmtId="2" fontId="3" fillId="2" borderId="61" xfId="0" applyNumberFormat="1" applyFont="1" applyFill="1" applyBorder="1"/>
    <xf numFmtId="2" fontId="0" fillId="2" borderId="1" xfId="0" applyNumberFormat="1" applyFill="1" applyBorder="1"/>
    <xf numFmtId="2" fontId="0" fillId="2" borderId="60" xfId="0" applyNumberFormat="1" applyFill="1" applyBorder="1" applyAlignment="1">
      <alignment horizontal="center"/>
    </xf>
    <xf numFmtId="2" fontId="3" fillId="2" borderId="62" xfId="0" applyNumberFormat="1" applyFont="1" applyFill="1" applyBorder="1"/>
    <xf numFmtId="2" fontId="0" fillId="2" borderId="63" xfId="0" applyNumberFormat="1" applyFill="1" applyBorder="1"/>
    <xf numFmtId="4" fontId="0" fillId="2" borderId="60" xfId="0" applyNumberFormat="1" applyFill="1" applyBorder="1"/>
    <xf numFmtId="10" fontId="0" fillId="2" borderId="60" xfId="2" applyNumberFormat="1" applyFont="1" applyFill="1" applyBorder="1"/>
    <xf numFmtId="2" fontId="0" fillId="2" borderId="58" xfId="0" applyNumberFormat="1" applyFill="1" applyBorder="1"/>
    <xf numFmtId="0" fontId="5" fillId="2" borderId="43" xfId="0" applyFont="1" applyFill="1" applyBorder="1" applyAlignment="1" applyProtection="1">
      <alignment vertical="top"/>
      <protection locked="0"/>
    </xf>
    <xf numFmtId="0" fontId="13" fillId="0" borderId="43" xfId="0" applyFont="1" applyBorder="1" applyAlignment="1" applyProtection="1">
      <alignment horizontal="left" indent="1"/>
      <protection locked="0"/>
    </xf>
    <xf numFmtId="0" fontId="0" fillId="0" borderId="0" xfId="0" applyBorder="1"/>
    <xf numFmtId="0" fontId="0" fillId="2" borderId="9" xfId="0" applyFont="1" applyFill="1" applyBorder="1"/>
    <xf numFmtId="0" fontId="0" fillId="2" borderId="10" xfId="0" applyFont="1" applyFill="1" applyBorder="1"/>
  </cellXfs>
  <cellStyles count="5">
    <cellStyle name="Comma" xfId="1" builtinId="3"/>
    <cellStyle name="Hyperlink" xfId="3" builtinId="8"/>
    <cellStyle name="Normal" xfId="0" builtinId="0"/>
    <cellStyle name="Normal 2" xfId="4" xr:uid="{6269D64E-69DF-4365-B23F-3D819E1B457F}"/>
    <cellStyle name="Percent" xfId="2" builtinId="5"/>
  </cellStyles>
  <dxfs count="2">
    <dxf>
      <font>
        <color theme="2"/>
      </font>
      <fill>
        <patternFill>
          <bgColor theme="3"/>
        </patternFill>
      </fill>
    </dxf>
    <dxf>
      <font>
        <color theme="2"/>
      </font>
      <fill>
        <patternFill>
          <bgColor theme="3"/>
        </patternFill>
      </fill>
    </dxf>
  </dxfs>
  <tableStyles count="0" defaultTableStyle="TableStyleMedium2" defaultPivotStyle="PivotStyleLight16"/>
  <colors>
    <mruColors>
      <color rgb="FFD52B1E"/>
      <color rgb="FFFDC82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57417</xdr:colOff>
      <xdr:row>0</xdr:row>
      <xdr:rowOff>0</xdr:rowOff>
    </xdr:from>
    <xdr:to>
      <xdr:col>1</xdr:col>
      <xdr:colOff>562957</xdr:colOff>
      <xdr:row>2</xdr:row>
      <xdr:rowOff>268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064ABA3-BFF4-44EE-B7A0-E5E0BE030E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5191" y="0"/>
          <a:ext cx="505540" cy="371975"/>
        </a:xfrm>
        <a:prstGeom prst="rect">
          <a:avLst/>
        </a:prstGeom>
      </xdr:spPr>
    </xdr:pic>
    <xdr:clientData/>
  </xdr:twoCellAnchor>
  <xdr:twoCellAnchor editAs="oneCell">
    <xdr:from>
      <xdr:col>14</xdr:col>
      <xdr:colOff>42706</xdr:colOff>
      <xdr:row>0</xdr:row>
      <xdr:rowOff>0</xdr:rowOff>
    </xdr:from>
    <xdr:to>
      <xdr:col>14</xdr:col>
      <xdr:colOff>552207</xdr:colOff>
      <xdr:row>2</xdr:row>
      <xdr:rowOff>268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CA8C63B-6BC7-4240-9DCA-3B331BCBBA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06121" y="0"/>
          <a:ext cx="509501" cy="3719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84" Type="http://schemas.openxmlformats.org/officeDocument/2006/relationships/hyperlink" Target="javascript:void(0);" TargetMode="External"/><Relationship Id="rId89" Type="http://schemas.openxmlformats.org/officeDocument/2006/relationships/hyperlink" Target="javascript:void(0);" TargetMode="External"/><Relationship Id="rId16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79" Type="http://schemas.openxmlformats.org/officeDocument/2006/relationships/hyperlink" Target="javascript:void(0);" TargetMode="External"/><Relationship Id="rId102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90" Type="http://schemas.openxmlformats.org/officeDocument/2006/relationships/hyperlink" Target="javascript:void(0);" TargetMode="External"/><Relationship Id="rId95" Type="http://schemas.openxmlformats.org/officeDocument/2006/relationships/hyperlink" Target="javascript:void(0);" TargetMode="External"/><Relationship Id="rId22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80" Type="http://schemas.openxmlformats.org/officeDocument/2006/relationships/hyperlink" Target="javascript:void(0);" TargetMode="External"/><Relationship Id="rId85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103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83" Type="http://schemas.openxmlformats.org/officeDocument/2006/relationships/hyperlink" Target="javascript:void(0);" TargetMode="External"/><Relationship Id="rId88" Type="http://schemas.openxmlformats.org/officeDocument/2006/relationships/hyperlink" Target="javascript:void(0);" TargetMode="External"/><Relationship Id="rId91" Type="http://schemas.openxmlformats.org/officeDocument/2006/relationships/hyperlink" Target="javascript:void(0);" TargetMode="External"/><Relationship Id="rId96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15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78" Type="http://schemas.openxmlformats.org/officeDocument/2006/relationships/hyperlink" Target="javascript:void(0);" TargetMode="External"/><Relationship Id="rId81" Type="http://schemas.openxmlformats.org/officeDocument/2006/relationships/hyperlink" Target="javascript:void(0);" TargetMode="External"/><Relationship Id="rId86" Type="http://schemas.openxmlformats.org/officeDocument/2006/relationships/hyperlink" Target="javascript:void(0);" TargetMode="External"/><Relationship Id="rId94" Type="http://schemas.openxmlformats.org/officeDocument/2006/relationships/hyperlink" Target="javascript:void(0);" TargetMode="External"/><Relationship Id="rId99" Type="http://schemas.openxmlformats.org/officeDocument/2006/relationships/hyperlink" Target="javascript:void(0);" TargetMode="External"/><Relationship Id="rId101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13" Type="http://schemas.openxmlformats.org/officeDocument/2006/relationships/hyperlink" Target="javascript:void(0);" TargetMode="Externa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97" Type="http://schemas.openxmlformats.org/officeDocument/2006/relationships/hyperlink" Target="javascript:void(0);" TargetMode="External"/><Relationship Id="rId104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92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87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82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77" Type="http://schemas.openxmlformats.org/officeDocument/2006/relationships/hyperlink" Target="javascript:void(0);" TargetMode="External"/><Relationship Id="rId100" Type="http://schemas.openxmlformats.org/officeDocument/2006/relationships/hyperlink" Target="javascript:void(0);" TargetMode="Externa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93" Type="http://schemas.openxmlformats.org/officeDocument/2006/relationships/hyperlink" Target="javascript:void(0);" TargetMode="External"/><Relationship Id="rId98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18308-511B-4BFB-B983-63004CFCFF49}">
  <dimension ref="A1:Z121"/>
  <sheetViews>
    <sheetView tabSelected="1" zoomScale="78" zoomScaleNormal="93" workbookViewId="0"/>
  </sheetViews>
  <sheetFormatPr defaultRowHeight="15" x14ac:dyDescent="0.25"/>
  <cols>
    <col min="1" max="1" width="2" style="174" customWidth="1"/>
    <col min="2" max="3" width="9.140625" style="174"/>
    <col min="4" max="4" width="12.42578125" style="174" customWidth="1"/>
    <col min="5" max="5" width="9.140625" style="174"/>
    <col min="6" max="6" width="10.5703125" style="174" customWidth="1"/>
    <col min="7" max="8" width="11.28515625" style="174" customWidth="1"/>
    <col min="9" max="13" width="9.5703125" style="174" bestFit="1" customWidth="1"/>
    <col min="14" max="14" width="2.7109375" style="174" customWidth="1"/>
    <col min="15" max="16" width="9.140625" style="174"/>
    <col min="17" max="17" width="12.42578125" style="174" customWidth="1"/>
    <col min="18" max="18" width="16" style="174" bestFit="1" customWidth="1"/>
    <col min="19" max="21" width="10.140625" style="174" bestFit="1" customWidth="1"/>
    <col min="22" max="22" width="12.5703125" style="174" bestFit="1" customWidth="1"/>
    <col min="23" max="25" width="10.140625" style="174" bestFit="1" customWidth="1"/>
    <col min="26" max="26" width="12.5703125" style="174" bestFit="1" customWidth="1"/>
    <col min="27" max="16384" width="9.140625" style="174"/>
  </cols>
  <sheetData>
    <row r="1" spans="1:26" customFormat="1" x14ac:dyDescent="0.25">
      <c r="A1" s="3"/>
      <c r="B1" s="113"/>
      <c r="C1" s="17"/>
      <c r="D1" s="17"/>
      <c r="E1" s="17"/>
      <c r="F1" s="17"/>
      <c r="G1" s="17"/>
      <c r="H1" s="17"/>
      <c r="I1" s="17"/>
      <c r="J1" s="17"/>
      <c r="K1" s="17"/>
      <c r="L1" s="17"/>
      <c r="M1" s="248"/>
      <c r="N1" s="1"/>
      <c r="O1" s="113"/>
      <c r="P1" s="17"/>
      <c r="Q1" s="17"/>
      <c r="R1" s="17"/>
      <c r="S1" s="17"/>
      <c r="T1" s="17"/>
      <c r="U1" s="17"/>
      <c r="V1" s="17"/>
      <c r="W1" s="17"/>
      <c r="X1" s="17"/>
      <c r="Y1" s="17"/>
      <c r="Z1" s="18"/>
    </row>
    <row r="2" spans="1:26" customFormat="1" x14ac:dyDescent="0.25">
      <c r="A2" s="3"/>
      <c r="B2" s="113"/>
      <c r="C2" s="17"/>
      <c r="D2" s="17"/>
      <c r="E2" s="17"/>
      <c r="F2" s="17"/>
      <c r="G2" s="17"/>
      <c r="H2" s="17"/>
      <c r="I2" s="17"/>
      <c r="J2" s="17"/>
      <c r="K2" s="17"/>
      <c r="L2" s="17"/>
      <c r="M2" s="248"/>
      <c r="N2" s="1"/>
      <c r="O2" s="113"/>
      <c r="P2" s="17"/>
      <c r="Q2" s="17"/>
      <c r="R2" s="17"/>
      <c r="S2" s="17"/>
      <c r="T2" s="17"/>
      <c r="U2" s="17"/>
      <c r="V2" s="17"/>
      <c r="W2" s="17"/>
      <c r="X2" s="17"/>
      <c r="Y2" s="17"/>
      <c r="Z2" s="18"/>
    </row>
    <row r="3" spans="1:26" customFormat="1" ht="15.75" thickBot="1" x14ac:dyDescent="0.3">
      <c r="A3" s="3"/>
      <c r="B3" s="13" t="s">
        <v>0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249"/>
      <c r="N3" s="1"/>
      <c r="O3" s="13" t="s">
        <v>0</v>
      </c>
      <c r="P3" s="14"/>
      <c r="Q3" s="14"/>
      <c r="R3" s="14"/>
      <c r="S3" s="14"/>
      <c r="T3" s="14"/>
      <c r="U3" s="14"/>
      <c r="V3" s="14"/>
      <c r="W3" s="14"/>
      <c r="X3" s="14"/>
      <c r="Y3" s="14"/>
      <c r="Z3" s="15"/>
    </row>
    <row r="4" spans="1:26" customFormat="1" x14ac:dyDescent="0.25">
      <c r="A4" s="3"/>
      <c r="B4" s="114" t="s">
        <v>1</v>
      </c>
      <c r="C4" s="3"/>
      <c r="D4" s="3"/>
      <c r="E4" s="3"/>
      <c r="F4" s="3"/>
      <c r="G4" s="3"/>
      <c r="H4" s="3"/>
      <c r="I4" s="3"/>
      <c r="J4" s="3"/>
      <c r="K4" s="3"/>
      <c r="L4" s="3"/>
      <c r="M4" s="187"/>
      <c r="N4" s="1"/>
      <c r="O4" s="114" t="s">
        <v>1</v>
      </c>
      <c r="P4" s="3"/>
      <c r="Q4" s="3"/>
      <c r="R4" s="3"/>
      <c r="S4" s="3"/>
      <c r="T4" s="3"/>
      <c r="U4" s="3"/>
      <c r="V4" s="3"/>
      <c r="W4" s="3"/>
      <c r="X4" s="3"/>
      <c r="Y4" s="3"/>
      <c r="Z4" s="19"/>
    </row>
    <row r="5" spans="1:26" customFormat="1" ht="15.75" thickBot="1" x14ac:dyDescent="0.3">
      <c r="A5" s="3"/>
      <c r="B5" s="239" t="s">
        <v>154</v>
      </c>
      <c r="C5" s="12"/>
      <c r="D5" s="12"/>
      <c r="E5" s="12"/>
      <c r="F5" s="12"/>
      <c r="G5" s="12"/>
      <c r="H5" s="12"/>
      <c r="I5" s="12"/>
      <c r="J5" s="12"/>
      <c r="K5" s="12"/>
      <c r="L5" s="12"/>
      <c r="M5" s="250"/>
      <c r="N5" s="1"/>
      <c r="O5" s="239" t="s">
        <v>181</v>
      </c>
      <c r="P5" s="12"/>
      <c r="Q5" s="12"/>
      <c r="R5" s="12"/>
      <c r="S5" s="12"/>
      <c r="T5" s="12"/>
      <c r="U5" s="12"/>
      <c r="V5" s="12"/>
      <c r="W5" s="12"/>
      <c r="X5" s="12"/>
      <c r="Y5" s="12"/>
      <c r="Z5" s="16"/>
    </row>
    <row r="6" spans="1:26" customFormat="1" x14ac:dyDescent="0.25">
      <c r="A6" s="3"/>
      <c r="B6" s="111"/>
      <c r="C6" s="3"/>
      <c r="D6" s="3"/>
      <c r="E6" s="3"/>
      <c r="F6" s="3"/>
      <c r="G6" s="3"/>
      <c r="H6" s="3"/>
      <c r="I6" s="3"/>
      <c r="J6" s="3"/>
      <c r="K6" s="3"/>
      <c r="L6" s="3"/>
      <c r="M6" s="187"/>
      <c r="N6" s="1"/>
      <c r="O6" s="111"/>
      <c r="P6" s="3"/>
      <c r="Q6" s="3"/>
      <c r="R6" s="3"/>
      <c r="S6" s="3"/>
      <c r="T6" s="3"/>
      <c r="U6" s="3"/>
      <c r="V6" s="3">
        <v>1</v>
      </c>
      <c r="W6" s="3">
        <v>2</v>
      </c>
      <c r="X6" s="3">
        <v>3</v>
      </c>
      <c r="Y6" s="3">
        <v>4</v>
      </c>
      <c r="Z6" s="223">
        <v>5</v>
      </c>
    </row>
    <row r="7" spans="1:26" customFormat="1" x14ac:dyDescent="0.25">
      <c r="A7" s="3"/>
      <c r="B7" s="115" t="s">
        <v>109</v>
      </c>
      <c r="C7" s="17"/>
      <c r="D7" s="17"/>
      <c r="E7" s="17"/>
      <c r="F7" s="17"/>
      <c r="G7" s="17"/>
      <c r="H7" s="17"/>
      <c r="I7" s="90" t="s">
        <v>58</v>
      </c>
      <c r="J7" s="91"/>
      <c r="K7" s="91"/>
      <c r="L7" s="91"/>
      <c r="M7" s="251"/>
      <c r="N7" s="1"/>
      <c r="O7" s="115" t="s">
        <v>61</v>
      </c>
      <c r="P7" s="17"/>
      <c r="Q7" s="17"/>
      <c r="R7" s="17"/>
      <c r="S7" s="17"/>
      <c r="T7" s="17"/>
      <c r="U7" s="17"/>
      <c r="V7" s="90" t="s">
        <v>58</v>
      </c>
      <c r="W7" s="91"/>
      <c r="X7" s="91"/>
      <c r="Y7" s="91"/>
      <c r="Z7" s="92"/>
    </row>
    <row r="8" spans="1:26" customFormat="1" x14ac:dyDescent="0.25">
      <c r="A8" s="3"/>
      <c r="B8" s="119" t="s">
        <v>2</v>
      </c>
      <c r="C8" s="116"/>
      <c r="D8" s="22"/>
      <c r="E8" s="117" t="s">
        <v>3</v>
      </c>
      <c r="F8" s="86">
        <f>G8-1</f>
        <v>2023</v>
      </c>
      <c r="G8" s="86">
        <f>H8-1</f>
        <v>2024</v>
      </c>
      <c r="H8" s="87">
        <v>2025</v>
      </c>
      <c r="I8" s="88">
        <f>H8+1</f>
        <v>2026</v>
      </c>
      <c r="J8" s="88">
        <f>I8+1</f>
        <v>2027</v>
      </c>
      <c r="K8" s="88">
        <f>J8+1</f>
        <v>2028</v>
      </c>
      <c r="L8" s="88">
        <f>K8+1</f>
        <v>2029</v>
      </c>
      <c r="M8" s="252">
        <f>L8+1</f>
        <v>2030</v>
      </c>
      <c r="N8" s="1"/>
      <c r="O8" s="119" t="s">
        <v>2</v>
      </c>
      <c r="P8" s="116"/>
      <c r="Q8" s="22"/>
      <c r="R8" s="117" t="s">
        <v>3</v>
      </c>
      <c r="S8" s="85">
        <f>T8-1</f>
        <v>2023</v>
      </c>
      <c r="T8" s="86">
        <f>U8-1</f>
        <v>2024</v>
      </c>
      <c r="U8" s="87">
        <v>2025</v>
      </c>
      <c r="V8" s="88">
        <f>U8+1</f>
        <v>2026</v>
      </c>
      <c r="W8" s="88">
        <f>V8+1</f>
        <v>2027</v>
      </c>
      <c r="X8" s="88">
        <f>W8+1</f>
        <v>2028</v>
      </c>
      <c r="Y8" s="88">
        <f>X8+1</f>
        <v>2029</v>
      </c>
      <c r="Z8" s="89">
        <f>Y8+1</f>
        <v>2030</v>
      </c>
    </row>
    <row r="9" spans="1:26" customFormat="1" x14ac:dyDescent="0.25">
      <c r="A9" s="3"/>
      <c r="B9" s="264"/>
      <c r="C9" s="21"/>
      <c r="D9" s="21"/>
      <c r="E9" s="78" t="s">
        <v>4</v>
      </c>
      <c r="F9" s="24"/>
      <c r="G9" s="24"/>
      <c r="H9" s="151"/>
      <c r="I9" s="152"/>
      <c r="J9" s="152"/>
      <c r="K9" s="152"/>
      <c r="L9" s="152"/>
      <c r="M9" s="253"/>
      <c r="N9" s="1"/>
      <c r="O9" s="120" t="s">
        <v>5</v>
      </c>
      <c r="P9" s="25"/>
      <c r="Q9" s="25"/>
      <c r="R9" s="78" t="s">
        <v>4</v>
      </c>
      <c r="S9" s="71">
        <f>F10</f>
        <v>25494</v>
      </c>
      <c r="T9" s="71">
        <f t="shared" ref="T9:Z9" si="0">G10</f>
        <v>25920</v>
      </c>
      <c r="U9" s="182">
        <f t="shared" si="0"/>
        <v>26885</v>
      </c>
      <c r="V9" s="71">
        <f t="shared" si="0"/>
        <v>28498.100000000002</v>
      </c>
      <c r="W9" s="71">
        <f t="shared" si="0"/>
        <v>29923.005000000005</v>
      </c>
      <c r="X9" s="71">
        <f t="shared" si="0"/>
        <v>31239.617220000007</v>
      </c>
      <c r="Y9" s="71">
        <f t="shared" si="0"/>
        <v>32739.11884656001</v>
      </c>
      <c r="Z9" s="146">
        <f t="shared" si="0"/>
        <v>33950.466243882729</v>
      </c>
    </row>
    <row r="10" spans="1:26" customFormat="1" x14ac:dyDescent="0.25">
      <c r="A10" s="3"/>
      <c r="B10" s="120" t="s">
        <v>5</v>
      </c>
      <c r="C10" s="25"/>
      <c r="D10" s="25"/>
      <c r="E10" s="174"/>
      <c r="F10" s="71">
        <f>Sheet2!B7</f>
        <v>25494</v>
      </c>
      <c r="G10" s="71">
        <f>Sheet2!C7</f>
        <v>25920</v>
      </c>
      <c r="H10" s="72">
        <f>Sheet2!D7</f>
        <v>26885</v>
      </c>
      <c r="I10" s="96">
        <f>H10*(1+I27)</f>
        <v>28498.100000000002</v>
      </c>
      <c r="J10" s="96">
        <f t="shared" ref="J10:M10" si="1">I10*(1+J27)</f>
        <v>29923.005000000005</v>
      </c>
      <c r="K10" s="96">
        <f t="shared" si="1"/>
        <v>31239.617220000007</v>
      </c>
      <c r="L10" s="96">
        <f t="shared" si="1"/>
        <v>32739.11884656001</v>
      </c>
      <c r="M10" s="254">
        <f t="shared" si="1"/>
        <v>33950.466243882729</v>
      </c>
      <c r="N10" s="1"/>
      <c r="O10" s="122" t="s">
        <v>63</v>
      </c>
      <c r="P10" s="26"/>
      <c r="Q10" s="26"/>
      <c r="R10" s="26"/>
      <c r="S10" s="80">
        <f>F27</f>
        <v>0.1</v>
      </c>
      <c r="T10" s="80">
        <f t="shared" ref="T10:Z10" si="2">G27</f>
        <v>1.670981407389974E-2</v>
      </c>
      <c r="U10" s="183">
        <f t="shared" si="2"/>
        <v>3.7229938271604937E-2</v>
      </c>
      <c r="V10" s="80">
        <f t="shared" si="2"/>
        <v>0.06</v>
      </c>
      <c r="W10" s="80">
        <f t="shared" si="2"/>
        <v>0.05</v>
      </c>
      <c r="X10" s="80">
        <f t="shared" si="2"/>
        <v>4.3999999999999997E-2</v>
      </c>
      <c r="Y10" s="80">
        <f t="shared" si="2"/>
        <v>4.8000000000000001E-2</v>
      </c>
      <c r="Z10" s="102">
        <f t="shared" si="2"/>
        <v>3.6999999999999998E-2</v>
      </c>
    </row>
    <row r="11" spans="1:26" customFormat="1" x14ac:dyDescent="0.25">
      <c r="A11" s="3"/>
      <c r="B11" s="69" t="s">
        <v>6</v>
      </c>
      <c r="C11" s="70"/>
      <c r="D11" s="70"/>
      <c r="E11" s="70"/>
      <c r="F11" s="68">
        <f>SUM(Sheet2!B9:B13)</f>
        <v>10931</v>
      </c>
      <c r="G11" s="68">
        <f>SUM(Sheet2!C9:C13)</f>
        <v>11210</v>
      </c>
      <c r="H11" s="82">
        <f>SUM(Sheet2!D9:D13)</f>
        <v>11451</v>
      </c>
      <c r="I11" s="93">
        <f>I28*I10</f>
        <v>12227.369690307789</v>
      </c>
      <c r="J11" s="93">
        <f t="shared" ref="J11:M11" si="3">J28*J10</f>
        <v>12841.646354184888</v>
      </c>
      <c r="K11" s="93">
        <f t="shared" si="3"/>
        <v>13372.02094009481</v>
      </c>
      <c r="L11" s="93">
        <f t="shared" si="3"/>
        <v>14037.031607673815</v>
      </c>
      <c r="M11" s="255">
        <f t="shared" si="3"/>
        <v>14552.949986375781</v>
      </c>
      <c r="N11" s="1"/>
      <c r="O11" s="121"/>
      <c r="P11" s="27"/>
      <c r="Q11" s="27"/>
      <c r="R11" s="27"/>
      <c r="S11" s="71"/>
      <c r="T11" s="71"/>
      <c r="U11" s="184"/>
      <c r="V11" s="96"/>
      <c r="W11" s="96"/>
      <c r="X11" s="96"/>
      <c r="Y11" s="96"/>
      <c r="Z11" s="98"/>
    </row>
    <row r="12" spans="1:26" customFormat="1" x14ac:dyDescent="0.25">
      <c r="A12" s="3"/>
      <c r="B12" s="121" t="s">
        <v>7</v>
      </c>
      <c r="C12" s="27"/>
      <c r="D12" s="27"/>
      <c r="E12" s="27"/>
      <c r="F12" s="71">
        <f>F10-F11</f>
        <v>14563</v>
      </c>
      <c r="G12" s="71">
        <f t="shared" ref="G12:H12" si="4">G10-G11</f>
        <v>14710</v>
      </c>
      <c r="H12" s="99">
        <f t="shared" si="4"/>
        <v>15434</v>
      </c>
      <c r="I12" s="96">
        <f t="shared" ref="I12" si="5">I10-I11</f>
        <v>16270.730309692213</v>
      </c>
      <c r="J12" s="96">
        <f t="shared" ref="J12" si="6">J10-J11</f>
        <v>17081.358645815119</v>
      </c>
      <c r="K12" s="96">
        <f t="shared" ref="K12" si="7">K10-K11</f>
        <v>17867.596279905199</v>
      </c>
      <c r="L12" s="96">
        <f t="shared" ref="L12" si="8">L10-L11</f>
        <v>18702.087238886197</v>
      </c>
      <c r="M12" s="256">
        <f t="shared" ref="M12" si="9">M10-M11</f>
        <v>19397.516257506948</v>
      </c>
      <c r="N12" s="1"/>
      <c r="O12" s="124" t="s">
        <v>14</v>
      </c>
      <c r="P12" s="26"/>
      <c r="Q12" s="26"/>
      <c r="R12" s="26"/>
      <c r="S12" s="71">
        <f>F22</f>
        <v>11647</v>
      </c>
      <c r="T12" s="71">
        <f t="shared" ref="T12:Z12" si="10">G22</f>
        <v>11712</v>
      </c>
      <c r="U12" s="184">
        <f t="shared" si="10"/>
        <v>12392</v>
      </c>
      <c r="V12" s="71">
        <f t="shared" si="10"/>
        <v>13010.62337773013</v>
      </c>
      <c r="W12" s="71">
        <f t="shared" si="10"/>
        <v>13658.07192294629</v>
      </c>
      <c r="X12" s="71">
        <f t="shared" si="10"/>
        <v>14306.809819407901</v>
      </c>
      <c r="Y12" s="71">
        <f t="shared" si="10"/>
        <v>14961.276733935307</v>
      </c>
      <c r="Z12" s="146">
        <f t="shared" si="10"/>
        <v>15519.836647831145</v>
      </c>
    </row>
    <row r="13" spans="1:26" customFormat="1" x14ac:dyDescent="0.25">
      <c r="A13" s="3"/>
      <c r="B13" s="122" t="s">
        <v>49</v>
      </c>
      <c r="C13" s="26"/>
      <c r="D13" s="26"/>
      <c r="E13" s="26"/>
      <c r="F13" s="62">
        <f>SUM(Sheet2!B15:B16)</f>
        <v>2534</v>
      </c>
      <c r="G13" s="62">
        <f>SUM(Sheet2!C15:C16)</f>
        <v>2551</v>
      </c>
      <c r="H13" s="63">
        <f>SUM(Sheet2!D15:D16)</f>
        <v>2585</v>
      </c>
      <c r="I13" s="94">
        <f>I29*I10</f>
        <v>2792.4757730392507</v>
      </c>
      <c r="J13" s="94">
        <f t="shared" ref="J13:M13" si="11">J29*J10</f>
        <v>2918.0577159726886</v>
      </c>
      <c r="K13" s="94">
        <f t="shared" si="11"/>
        <v>3037.0872726270381</v>
      </c>
      <c r="L13" s="94">
        <f t="shared" si="11"/>
        <v>3194.5315803641811</v>
      </c>
      <c r="M13" s="257">
        <f t="shared" si="11"/>
        <v>3308.0580010102685</v>
      </c>
      <c r="N13" s="1"/>
      <c r="O13" s="122" t="s">
        <v>64</v>
      </c>
      <c r="P13" s="26"/>
      <c r="Q13" s="26"/>
      <c r="R13" s="26"/>
      <c r="S13" s="80">
        <f>S12/S9</f>
        <v>0.45685259276692552</v>
      </c>
      <c r="T13" s="80">
        <f t="shared" ref="T13:Z13" si="12">T12/T9</f>
        <v>0.45185185185185184</v>
      </c>
      <c r="U13" s="183">
        <f t="shared" si="12"/>
        <v>0.46092616700762506</v>
      </c>
      <c r="V13" s="80">
        <f t="shared" si="12"/>
        <v>0.45654353720880086</v>
      </c>
      <c r="W13" s="80">
        <f t="shared" si="12"/>
        <v>0.45644051868942603</v>
      </c>
      <c r="X13" s="80">
        <f t="shared" si="12"/>
        <v>0.45797007430195069</v>
      </c>
      <c r="Y13" s="80">
        <f t="shared" si="12"/>
        <v>0.45698471006672586</v>
      </c>
      <c r="Z13" s="102">
        <f t="shared" si="12"/>
        <v>0.4571317676860342</v>
      </c>
    </row>
    <row r="14" spans="1:26" customFormat="1" x14ac:dyDescent="0.25">
      <c r="A14" s="3"/>
      <c r="B14" s="69" t="s">
        <v>111</v>
      </c>
      <c r="C14" s="70"/>
      <c r="D14" s="70"/>
      <c r="E14" s="70"/>
      <c r="F14" s="68">
        <f>Sheet2!B14</f>
        <v>382</v>
      </c>
      <c r="G14" s="68">
        <f>Sheet2!C14</f>
        <v>447</v>
      </c>
      <c r="H14" s="82">
        <f>Sheet2!D14</f>
        <v>457</v>
      </c>
      <c r="I14" s="93">
        <f>I31*I10</f>
        <v>467.63115892283298</v>
      </c>
      <c r="J14" s="93">
        <f>J31*J10</f>
        <v>505.22900689613977</v>
      </c>
      <c r="K14" s="93">
        <f>K31*K10</f>
        <v>523.69918787025983</v>
      </c>
      <c r="L14" s="93">
        <f>L31*L10</f>
        <v>546.27892458670988</v>
      </c>
      <c r="M14" s="255">
        <f>M31*M10</f>
        <v>569.6216086655345</v>
      </c>
      <c r="N14" s="1"/>
      <c r="O14" s="120"/>
      <c r="P14" s="28"/>
      <c r="Q14" s="28"/>
      <c r="R14" s="28"/>
      <c r="S14" s="71"/>
      <c r="T14" s="71"/>
      <c r="U14" s="184"/>
      <c r="V14" s="96"/>
      <c r="W14" s="96"/>
      <c r="X14" s="96"/>
      <c r="Y14" s="96"/>
      <c r="Z14" s="98"/>
    </row>
    <row r="15" spans="1:26" customFormat="1" x14ac:dyDescent="0.25">
      <c r="A15" s="3"/>
      <c r="B15" s="120" t="s">
        <v>8</v>
      </c>
      <c r="C15" s="28"/>
      <c r="D15" s="28"/>
      <c r="E15" s="28"/>
      <c r="F15" s="71">
        <f>F12-F13-F14</f>
        <v>11647</v>
      </c>
      <c r="G15" s="71">
        <f t="shared" ref="G15:H15" si="13">G12-G13-G14</f>
        <v>11712</v>
      </c>
      <c r="H15" s="72">
        <f t="shared" si="13"/>
        <v>12392</v>
      </c>
      <c r="I15" s="96">
        <f>I12-I13-I14</f>
        <v>13010.62337773013</v>
      </c>
      <c r="J15" s="96">
        <f t="shared" ref="J15:M15" si="14">J12-J13-J14</f>
        <v>13658.07192294629</v>
      </c>
      <c r="K15" s="96">
        <f t="shared" si="14"/>
        <v>14306.809819407901</v>
      </c>
      <c r="L15" s="96">
        <f t="shared" si="14"/>
        <v>14961.276733935307</v>
      </c>
      <c r="M15" s="188">
        <f t="shared" si="14"/>
        <v>15519.836647831145</v>
      </c>
      <c r="N15" s="1"/>
      <c r="O15" s="124" t="s">
        <v>65</v>
      </c>
      <c r="P15" s="26"/>
      <c r="Q15" s="26"/>
      <c r="R15" s="26"/>
      <c r="S15" s="71">
        <f>F19</f>
        <v>2053</v>
      </c>
      <c r="T15" s="71">
        <f t="shared" ref="T15:Z15" si="15">G19</f>
        <v>2121</v>
      </c>
      <c r="U15" s="184">
        <f t="shared" si="15"/>
        <v>2334</v>
      </c>
      <c r="V15" s="71">
        <f t="shared" si="15"/>
        <v>2392.4295446500173</v>
      </c>
      <c r="W15" s="71">
        <f t="shared" si="15"/>
        <v>2504.3006829379378</v>
      </c>
      <c r="X15" s="71">
        <f t="shared" si="15"/>
        <v>2624.9675301897751</v>
      </c>
      <c r="Y15" s="71">
        <f t="shared" si="15"/>
        <v>2746.473431555627</v>
      </c>
      <c r="Z15" s="146">
        <f t="shared" si="15"/>
        <v>2847.4024038030443</v>
      </c>
    </row>
    <row r="16" spans="1:26" customFormat="1" x14ac:dyDescent="0.25">
      <c r="A16" s="3"/>
      <c r="B16" s="122" t="s">
        <v>9</v>
      </c>
      <c r="C16" s="26"/>
      <c r="D16" s="26"/>
      <c r="E16" s="26"/>
      <c r="F16" s="62">
        <f>Sheet2!B19</f>
        <v>1361</v>
      </c>
      <c r="G16" s="62">
        <f>Sheet2!C19</f>
        <v>1506</v>
      </c>
      <c r="H16" s="63">
        <f>Sheet2!D19</f>
        <v>1582</v>
      </c>
      <c r="I16" s="94">
        <f>I32*I15</f>
        <v>1618.101736539571</v>
      </c>
      <c r="J16" s="94">
        <f>J32*J15</f>
        <v>1732.8305756227774</v>
      </c>
      <c r="K16" s="94">
        <f>K32*K15</f>
        <v>1806.9644375518294</v>
      </c>
      <c r="L16" s="94">
        <f>L32*L15</f>
        <v>1882.8318217656549</v>
      </c>
      <c r="M16" s="257">
        <f>M32*M15</f>
        <v>1960.7775821023617</v>
      </c>
      <c r="N16" s="1"/>
      <c r="O16" s="122" t="s">
        <v>66</v>
      </c>
      <c r="P16" s="26"/>
      <c r="Q16" s="26"/>
      <c r="R16" s="26"/>
      <c r="S16" s="80">
        <f>S15/S12</f>
        <v>0.1762685670129647</v>
      </c>
      <c r="T16" s="80">
        <f t="shared" ref="T16:Z16" si="16">T15/T12</f>
        <v>0.18109631147540983</v>
      </c>
      <c r="U16" s="183">
        <f t="shared" si="16"/>
        <v>0.18834732085216269</v>
      </c>
      <c r="V16" s="80">
        <f t="shared" si="16"/>
        <v>0.18388277603554823</v>
      </c>
      <c r="W16" s="80">
        <f t="shared" si="16"/>
        <v>0.18335682350087634</v>
      </c>
      <c r="X16" s="80">
        <f t="shared" si="16"/>
        <v>0.18347678925799907</v>
      </c>
      <c r="Y16" s="80">
        <f t="shared" si="16"/>
        <v>0.1835721295981412</v>
      </c>
      <c r="Z16" s="102">
        <f t="shared" si="16"/>
        <v>0.18346858078567219</v>
      </c>
    </row>
    <row r="17" spans="1:26" customFormat="1" x14ac:dyDescent="0.25">
      <c r="A17" s="3"/>
      <c r="B17" s="69" t="s">
        <v>10</v>
      </c>
      <c r="C17" s="70"/>
      <c r="D17" s="70"/>
      <c r="E17" s="70"/>
      <c r="F17" s="9">
        <f>Sheet2!B20</f>
        <v>-236</v>
      </c>
      <c r="G17" s="9">
        <f>Sheet2!C20</f>
        <v>-139</v>
      </c>
      <c r="H17" s="83">
        <f>Sheet2!D20</f>
        <v>-87</v>
      </c>
      <c r="I17" s="100" t="s">
        <v>59</v>
      </c>
      <c r="J17" s="100" t="s">
        <v>59</v>
      </c>
      <c r="K17" s="100" t="s">
        <v>59</v>
      </c>
      <c r="L17" s="100" t="s">
        <v>59</v>
      </c>
      <c r="M17" s="258" t="s">
        <v>59</v>
      </c>
      <c r="N17" s="1"/>
      <c r="O17" s="123"/>
      <c r="P17" s="29"/>
      <c r="Q17" s="29"/>
      <c r="R17" s="29"/>
      <c r="S17" s="71"/>
      <c r="T17" s="71"/>
      <c r="U17" s="184"/>
      <c r="V17" s="96"/>
      <c r="W17" s="96"/>
      <c r="X17" s="96"/>
      <c r="Y17" s="96"/>
      <c r="Z17" s="98"/>
    </row>
    <row r="18" spans="1:26" customFormat="1" x14ac:dyDescent="0.25">
      <c r="A18" s="3"/>
      <c r="B18" s="123" t="s">
        <v>11</v>
      </c>
      <c r="C18" s="29"/>
      <c r="D18" s="29"/>
      <c r="E18" s="29"/>
      <c r="F18" s="71">
        <f>F15-F16-F17</f>
        <v>10522</v>
      </c>
      <c r="G18" s="71">
        <f t="shared" ref="G18:H18" si="17">G15-G16-G17</f>
        <v>10345</v>
      </c>
      <c r="H18" s="72">
        <f t="shared" si="17"/>
        <v>10897</v>
      </c>
      <c r="I18" s="96">
        <f>I15-I16</f>
        <v>11392.521641190559</v>
      </c>
      <c r="J18" s="96">
        <f t="shared" ref="J18:M18" si="18">J15-J16</f>
        <v>11925.241347323514</v>
      </c>
      <c r="K18" s="96">
        <f t="shared" si="18"/>
        <v>12499.845381856072</v>
      </c>
      <c r="L18" s="96">
        <f t="shared" si="18"/>
        <v>13078.444912169653</v>
      </c>
      <c r="M18" s="188">
        <f t="shared" si="18"/>
        <v>13559.059065728783</v>
      </c>
      <c r="N18" s="1"/>
      <c r="O18" s="149" t="s">
        <v>67</v>
      </c>
      <c r="P18" s="128"/>
      <c r="Q18" s="128"/>
      <c r="R18" s="128"/>
      <c r="S18" s="129">
        <f t="shared" ref="S18:U18" si="19">S12-S15</f>
        <v>9594</v>
      </c>
      <c r="T18" s="129">
        <f t="shared" si="19"/>
        <v>9591</v>
      </c>
      <c r="U18" s="185">
        <f t="shared" si="19"/>
        <v>10058</v>
      </c>
      <c r="V18" s="129">
        <f t="shared" ref="V18:Z18" si="20">V12-V15</f>
        <v>10618.193833080113</v>
      </c>
      <c r="W18" s="129">
        <f t="shared" si="20"/>
        <v>11153.771240008353</v>
      </c>
      <c r="X18" s="129">
        <f t="shared" si="20"/>
        <v>11681.842289218126</v>
      </c>
      <c r="Y18" s="129">
        <f t="shared" si="20"/>
        <v>12214.80330237968</v>
      </c>
      <c r="Z18" s="147">
        <f t="shared" si="20"/>
        <v>12672.434244028102</v>
      </c>
    </row>
    <row r="19" spans="1:26" customFormat="1" ht="17.25" x14ac:dyDescent="0.25">
      <c r="A19" s="3"/>
      <c r="B19" s="69" t="s">
        <v>12</v>
      </c>
      <c r="C19" s="70"/>
      <c r="D19" s="70"/>
      <c r="E19" s="70"/>
      <c r="F19" s="68">
        <f>Sheet2!B22</f>
        <v>2053</v>
      </c>
      <c r="G19" s="68">
        <f>Sheet2!C22</f>
        <v>2121</v>
      </c>
      <c r="H19" s="82">
        <f>Sheet2!D22</f>
        <v>2334</v>
      </c>
      <c r="I19" s="93">
        <f>I33*I18</f>
        <v>2392.4295446500173</v>
      </c>
      <c r="J19" s="93">
        <f>J33*J18</f>
        <v>2504.3006829379378</v>
      </c>
      <c r="K19" s="93">
        <f>K33*K18</f>
        <v>2624.9675301897751</v>
      </c>
      <c r="L19" s="93">
        <f>L33*L18</f>
        <v>2746.473431555627</v>
      </c>
      <c r="M19" s="255">
        <f>M33*M18</f>
        <v>2847.4024038030443</v>
      </c>
      <c r="N19" s="1"/>
      <c r="O19" s="120"/>
      <c r="P19" s="28"/>
      <c r="Q19" s="28"/>
      <c r="R19" s="28"/>
      <c r="S19" s="71"/>
      <c r="T19" s="71"/>
      <c r="U19" s="184"/>
      <c r="V19" s="96"/>
      <c r="W19" s="96"/>
      <c r="X19" s="96"/>
      <c r="Y19" s="96"/>
      <c r="Z19" s="98"/>
    </row>
    <row r="20" spans="1:26" customFormat="1" ht="15.75" thickBot="1" x14ac:dyDescent="0.3">
      <c r="A20" s="3"/>
      <c r="B20" s="73" t="s">
        <v>13</v>
      </c>
      <c r="C20" s="74"/>
      <c r="D20" s="74"/>
      <c r="E20" s="74"/>
      <c r="F20" s="75">
        <f>F18-F19</f>
        <v>8469</v>
      </c>
      <c r="G20" s="75">
        <f t="shared" ref="G20:H20" si="21">G18-G19</f>
        <v>8224</v>
      </c>
      <c r="H20" s="84">
        <f t="shared" si="21"/>
        <v>8563</v>
      </c>
      <c r="I20" s="101">
        <f>I18-I19</f>
        <v>9000.0920965405421</v>
      </c>
      <c r="J20" s="101">
        <f t="shared" ref="J20:M20" si="22">J18-J19</f>
        <v>9420.9406643855764</v>
      </c>
      <c r="K20" s="101">
        <f t="shared" si="22"/>
        <v>9874.8778516662969</v>
      </c>
      <c r="L20" s="101">
        <f t="shared" si="22"/>
        <v>10331.971480614025</v>
      </c>
      <c r="M20" s="259">
        <f t="shared" si="22"/>
        <v>10711.656661925739</v>
      </c>
      <c r="N20" s="1"/>
      <c r="O20" s="120" t="s">
        <v>68</v>
      </c>
      <c r="P20" s="28"/>
      <c r="Q20" s="28"/>
      <c r="R20" s="28"/>
      <c r="S20" s="71">
        <f t="shared" ref="S20:U20" si="23">F42</f>
        <v>1978</v>
      </c>
      <c r="T20" s="71">
        <f t="shared" si="23"/>
        <v>2097</v>
      </c>
      <c r="U20" s="184">
        <f t="shared" si="23"/>
        <v>2199</v>
      </c>
      <c r="V20" s="71">
        <f>I42</f>
        <v>2282.5314023915216</v>
      </c>
      <c r="W20" s="71">
        <f t="shared" ref="W20:Z20" si="24">J42</f>
        <v>2426.5809775110979</v>
      </c>
      <c r="X20" s="71">
        <f t="shared" si="24"/>
        <v>2564.5901577415866</v>
      </c>
      <c r="Y20" s="71">
        <f t="shared" si="24"/>
        <v>2720.4296041597427</v>
      </c>
      <c r="Z20" s="146">
        <f t="shared" si="24"/>
        <v>2855.0359657575359</v>
      </c>
    </row>
    <row r="21" spans="1:26" customFormat="1" ht="15.75" thickTop="1" x14ac:dyDescent="0.25">
      <c r="A21" s="3"/>
      <c r="B21" s="120"/>
      <c r="C21" s="28"/>
      <c r="D21" s="28"/>
      <c r="E21" s="28"/>
      <c r="F21" s="71"/>
      <c r="G21" s="71"/>
      <c r="H21" s="72"/>
      <c r="I21" s="94"/>
      <c r="J21" s="94"/>
      <c r="K21" s="94"/>
      <c r="L21" s="94"/>
      <c r="M21" s="260"/>
      <c r="N21" s="1"/>
      <c r="O21" s="130" t="s">
        <v>62</v>
      </c>
      <c r="P21" s="25"/>
      <c r="Q21" s="25"/>
      <c r="R21" s="25"/>
      <c r="S21" s="131">
        <f t="shared" ref="S21:U21" si="25">S20/S9</f>
        <v>7.7586883188201144E-2</v>
      </c>
      <c r="T21" s="131">
        <f t="shared" si="25"/>
        <v>8.0902777777777782E-2</v>
      </c>
      <c r="U21" s="186">
        <f t="shared" si="25"/>
        <v>8.1792821275804353E-2</v>
      </c>
      <c r="V21" s="131">
        <f>V20/V9</f>
        <v>8.0094160747261098E-2</v>
      </c>
      <c r="W21" s="131">
        <f t="shared" ref="W21:Z21" si="26">W20/W9</f>
        <v>8.1094160747261099E-2</v>
      </c>
      <c r="X21" s="131">
        <f t="shared" si="26"/>
        <v>8.20941607472611E-2</v>
      </c>
      <c r="Y21" s="131">
        <f t="shared" si="26"/>
        <v>8.30941607472611E-2</v>
      </c>
      <c r="Z21" s="148">
        <f t="shared" si="26"/>
        <v>8.4094160747261101E-2</v>
      </c>
    </row>
    <row r="22" spans="1:26" customFormat="1" x14ac:dyDescent="0.25">
      <c r="A22" s="3"/>
      <c r="B22" s="120" t="s">
        <v>14</v>
      </c>
      <c r="C22" s="25"/>
      <c r="D22" s="25"/>
      <c r="E22" s="25"/>
      <c r="F22" s="71">
        <f>F15</f>
        <v>11647</v>
      </c>
      <c r="G22" s="71">
        <f t="shared" ref="G22:H22" si="27">G15</f>
        <v>11712</v>
      </c>
      <c r="H22" s="72">
        <f t="shared" si="27"/>
        <v>12392</v>
      </c>
      <c r="I22" s="96">
        <f>I15</f>
        <v>13010.62337773013</v>
      </c>
      <c r="J22" s="96">
        <f t="shared" ref="J22:M22" si="28">J15</f>
        <v>13658.07192294629</v>
      </c>
      <c r="K22" s="96">
        <f t="shared" si="28"/>
        <v>14306.809819407901</v>
      </c>
      <c r="L22" s="96">
        <f t="shared" si="28"/>
        <v>14961.276733935307</v>
      </c>
      <c r="M22" s="188">
        <f t="shared" si="28"/>
        <v>15519.836647831145</v>
      </c>
      <c r="N22" s="1"/>
      <c r="O22" s="122"/>
      <c r="P22" s="25"/>
      <c r="Q22" s="25"/>
      <c r="R22" s="25"/>
      <c r="S22" s="3"/>
      <c r="T22" s="3"/>
      <c r="U22" s="187"/>
      <c r="V22" s="94"/>
      <c r="W22" s="94"/>
      <c r="X22" s="94"/>
      <c r="Y22" s="94"/>
      <c r="Z22" s="95"/>
    </row>
    <row r="23" spans="1:26" customFormat="1" ht="17.25" x14ac:dyDescent="0.25">
      <c r="A23" s="3"/>
      <c r="B23" s="69" t="s">
        <v>15</v>
      </c>
      <c r="C23" s="103"/>
      <c r="D23" s="103"/>
      <c r="E23" s="103"/>
      <c r="F23" s="68">
        <f>F42</f>
        <v>1978</v>
      </c>
      <c r="G23" s="68">
        <f t="shared" ref="G23:M23" si="29">G42</f>
        <v>2097</v>
      </c>
      <c r="H23" s="82">
        <f t="shared" si="29"/>
        <v>2199</v>
      </c>
      <c r="I23" s="68">
        <f t="shared" si="29"/>
        <v>2282.5314023915216</v>
      </c>
      <c r="J23" s="68">
        <f t="shared" si="29"/>
        <v>2426.5809775110979</v>
      </c>
      <c r="K23" s="68">
        <f t="shared" si="29"/>
        <v>2564.5901577415866</v>
      </c>
      <c r="L23" s="68">
        <f t="shared" si="29"/>
        <v>2720.4296041597427</v>
      </c>
      <c r="M23" s="261">
        <f t="shared" si="29"/>
        <v>2855.0359657575359</v>
      </c>
      <c r="N23" s="1"/>
      <c r="O23" s="120" t="s">
        <v>69</v>
      </c>
      <c r="P23" s="28"/>
      <c r="Q23" s="28"/>
      <c r="R23" s="28"/>
      <c r="S23" s="96">
        <f t="shared" ref="S23:U23" si="30">F55</f>
        <v>-2357</v>
      </c>
      <c r="T23" s="96">
        <f t="shared" si="30"/>
        <v>-2775</v>
      </c>
      <c r="U23" s="188">
        <f t="shared" si="30"/>
        <v>-3365</v>
      </c>
      <c r="V23" s="96">
        <f>I55</f>
        <v>-3365</v>
      </c>
      <c r="W23" s="96">
        <f t="shared" ref="W23:Z23" si="31">J55</f>
        <v>-3482.7750000000001</v>
      </c>
      <c r="X23" s="96">
        <f t="shared" si="31"/>
        <v>-3482.7750000000001</v>
      </c>
      <c r="Y23" s="96">
        <f t="shared" si="31"/>
        <v>-3482.7750000000001</v>
      </c>
      <c r="Z23" s="98">
        <f t="shared" si="31"/>
        <v>-3482.7750000000001</v>
      </c>
    </row>
    <row r="24" spans="1:26" customFormat="1" x14ac:dyDescent="0.25">
      <c r="A24" s="3"/>
      <c r="B24" s="120" t="s">
        <v>16</v>
      </c>
      <c r="C24" s="28"/>
      <c r="D24" s="28"/>
      <c r="E24" s="28"/>
      <c r="F24" s="71">
        <f>F22+F23</f>
        <v>13625</v>
      </c>
      <c r="G24" s="71">
        <f t="shared" ref="G24:H24" si="32">G22+G23</f>
        <v>13809</v>
      </c>
      <c r="H24" s="72">
        <f t="shared" si="32"/>
        <v>14591</v>
      </c>
      <c r="I24" s="96">
        <f>I22-I23</f>
        <v>10728.091975338608</v>
      </c>
      <c r="J24" s="96">
        <f t="shared" ref="J24:M24" si="33">J22-J23</f>
        <v>11231.490945435193</v>
      </c>
      <c r="K24" s="96">
        <f t="shared" si="33"/>
        <v>11742.219661666315</v>
      </c>
      <c r="L24" s="96">
        <f t="shared" si="33"/>
        <v>12240.847129775564</v>
      </c>
      <c r="M24" s="188">
        <f t="shared" si="33"/>
        <v>12664.80068207361</v>
      </c>
      <c r="N24" s="1"/>
      <c r="O24" s="111" t="s">
        <v>62</v>
      </c>
      <c r="P24" s="3"/>
      <c r="Q24" s="3"/>
      <c r="R24" s="3"/>
      <c r="S24" s="3"/>
      <c r="T24" s="3"/>
      <c r="U24" s="187"/>
      <c r="V24" s="80">
        <f>V23/V9</f>
        <v>-0.11807804730841705</v>
      </c>
      <c r="W24" s="80">
        <f t="shared" ref="W24:Z24" si="34">W23/W9</f>
        <v>-0.11639121806115393</v>
      </c>
      <c r="X24" s="80">
        <f t="shared" si="34"/>
        <v>-0.11148584105474514</v>
      </c>
      <c r="Y24" s="80">
        <f t="shared" si="34"/>
        <v>-0.10637961932704688</v>
      </c>
      <c r="Z24" s="102">
        <f t="shared" si="34"/>
        <v>-0.10258401092289961</v>
      </c>
    </row>
    <row r="25" spans="1:26" customFormat="1" x14ac:dyDescent="0.25">
      <c r="A25" s="3"/>
      <c r="B25" s="111"/>
      <c r="C25" s="3"/>
      <c r="D25" s="3"/>
      <c r="E25" s="3"/>
      <c r="F25" s="3"/>
      <c r="G25" s="3"/>
      <c r="H25" s="20"/>
      <c r="I25" s="94"/>
      <c r="J25" s="94"/>
      <c r="K25" s="94"/>
      <c r="L25" s="94"/>
      <c r="M25" s="257"/>
      <c r="N25" s="1"/>
      <c r="O25" s="115"/>
      <c r="P25" s="17"/>
      <c r="Q25" s="17"/>
      <c r="R25" s="118"/>
      <c r="S25" s="85">
        <v>2023</v>
      </c>
      <c r="T25" s="86">
        <v>2024</v>
      </c>
      <c r="U25" s="189">
        <v>2025</v>
      </c>
      <c r="V25" s="88">
        <v>2026</v>
      </c>
      <c r="W25" s="88">
        <v>2027</v>
      </c>
      <c r="X25" s="88">
        <v>2028</v>
      </c>
      <c r="Y25" s="88">
        <v>2029</v>
      </c>
      <c r="Z25" s="89">
        <v>2030</v>
      </c>
    </row>
    <row r="26" spans="1:26" customFormat="1" x14ac:dyDescent="0.25">
      <c r="A26" s="3"/>
      <c r="B26" s="115" t="s">
        <v>50</v>
      </c>
      <c r="C26" s="17"/>
      <c r="D26" s="17"/>
      <c r="E26" s="118" t="s">
        <v>3</v>
      </c>
      <c r="F26" s="85">
        <f>G26-1</f>
        <v>2023</v>
      </c>
      <c r="G26" s="86">
        <f>H26-1</f>
        <v>2024</v>
      </c>
      <c r="H26" s="87">
        <v>2025</v>
      </c>
      <c r="I26" s="88">
        <f>H26+1</f>
        <v>2026</v>
      </c>
      <c r="J26" s="88">
        <f>I26+1</f>
        <v>2027</v>
      </c>
      <c r="K26" s="88">
        <f>J26+1</f>
        <v>2028</v>
      </c>
      <c r="L26" s="88">
        <f>K26+1</f>
        <v>2029</v>
      </c>
      <c r="M26" s="252">
        <f>L26+1</f>
        <v>2030</v>
      </c>
      <c r="N26" s="1"/>
      <c r="O26" s="124" t="s">
        <v>104</v>
      </c>
      <c r="P26" s="3"/>
      <c r="Q26" s="3"/>
      <c r="R26" s="77"/>
      <c r="S26" s="71">
        <v>1438</v>
      </c>
      <c r="T26" s="71">
        <v>1410</v>
      </c>
      <c r="U26" s="184">
        <v>1378</v>
      </c>
      <c r="V26" s="71">
        <f>AVERAGE(S26:U26)</f>
        <v>1408.6666666666667</v>
      </c>
      <c r="W26" s="71">
        <f t="shared" ref="W26:Z26" si="35">AVERAGE(T26:V26)</f>
        <v>1398.8888888888889</v>
      </c>
      <c r="X26" s="71">
        <f t="shared" si="35"/>
        <v>1395.1851851851852</v>
      </c>
      <c r="Y26" s="71">
        <f t="shared" si="35"/>
        <v>1400.9135802469136</v>
      </c>
      <c r="Z26" s="146">
        <f t="shared" si="35"/>
        <v>1398.3292181069958</v>
      </c>
    </row>
    <row r="27" spans="1:26" customFormat="1" x14ac:dyDescent="0.25">
      <c r="A27" s="3"/>
      <c r="B27" s="265" t="s">
        <v>51</v>
      </c>
      <c r="C27" s="3"/>
      <c r="D27" s="3"/>
      <c r="E27" s="77" t="s">
        <v>55</v>
      </c>
      <c r="F27" s="79">
        <v>0.1</v>
      </c>
      <c r="G27" s="80">
        <f>(G10-F10)/F10</f>
        <v>1.670981407389974E-2</v>
      </c>
      <c r="H27" s="81">
        <f>(H10-G10)/G10</f>
        <v>3.7229938271604937E-2</v>
      </c>
      <c r="I27" s="80">
        <v>0.06</v>
      </c>
      <c r="J27" s="80">
        <v>0.05</v>
      </c>
      <c r="K27" s="80">
        <v>4.3999999999999997E-2</v>
      </c>
      <c r="L27" s="80">
        <v>4.8000000000000001E-2</v>
      </c>
      <c r="M27" s="183">
        <v>3.6999999999999998E-2</v>
      </c>
      <c r="N27" s="1"/>
      <c r="O27" s="126"/>
      <c r="P27" s="3"/>
      <c r="Q27" s="3"/>
      <c r="R27" s="3"/>
      <c r="S27" s="80"/>
      <c r="T27" s="80"/>
      <c r="U27" s="183"/>
      <c r="V27" s="80"/>
      <c r="W27" s="80"/>
      <c r="X27" s="80"/>
      <c r="Y27" s="80"/>
      <c r="Z27" s="102"/>
    </row>
    <row r="28" spans="1:26" customFormat="1" x14ac:dyDescent="0.25">
      <c r="A28" s="3"/>
      <c r="B28" s="265" t="s">
        <v>52</v>
      </c>
      <c r="C28" s="3"/>
      <c r="D28" s="3"/>
      <c r="E28" s="3"/>
      <c r="F28" s="80">
        <f>F11/F10</f>
        <v>0.42876755314976073</v>
      </c>
      <c r="G28" s="80">
        <f t="shared" ref="G28:H28" si="36">G11/G10</f>
        <v>0.43248456790123457</v>
      </c>
      <c r="H28" s="81">
        <f t="shared" si="36"/>
        <v>0.42592523712107122</v>
      </c>
      <c r="I28" s="80">
        <f>AVERAGE(F28:H28)</f>
        <v>0.4290591193906888</v>
      </c>
      <c r="J28" s="80">
        <f t="shared" ref="J28:M28" si="37">AVERAGE(G28:I28)</f>
        <v>0.42915630813766487</v>
      </c>
      <c r="K28" s="80">
        <f t="shared" si="37"/>
        <v>0.42804688821647496</v>
      </c>
      <c r="L28" s="80">
        <f t="shared" si="37"/>
        <v>0.42875410524827623</v>
      </c>
      <c r="M28" s="183">
        <f t="shared" si="37"/>
        <v>0.42865243386747198</v>
      </c>
      <c r="N28" s="1"/>
      <c r="O28" s="124" t="s">
        <v>105</v>
      </c>
      <c r="P28" s="3"/>
      <c r="Q28" s="3"/>
      <c r="R28" s="77"/>
      <c r="S28" s="71">
        <v>0</v>
      </c>
      <c r="T28" s="71">
        <f>T26-S26</f>
        <v>-28</v>
      </c>
      <c r="U28" s="184">
        <f t="shared" ref="U28:Z28" si="38">U26-T26</f>
        <v>-32</v>
      </c>
      <c r="V28" s="71">
        <f t="shared" si="38"/>
        <v>30.666666666666742</v>
      </c>
      <c r="W28" s="71">
        <f t="shared" si="38"/>
        <v>-9.7777777777778283</v>
      </c>
      <c r="X28" s="71">
        <f t="shared" si="38"/>
        <v>-3.7037037037036953</v>
      </c>
      <c r="Y28" s="71">
        <f t="shared" si="38"/>
        <v>5.7283950617284063</v>
      </c>
      <c r="Z28" s="146">
        <f t="shared" si="38"/>
        <v>-2.5843621399178573</v>
      </c>
    </row>
    <row r="29" spans="1:26" customFormat="1" x14ac:dyDescent="0.25">
      <c r="A29" s="3"/>
      <c r="B29" s="265" t="s">
        <v>56</v>
      </c>
      <c r="C29" s="3"/>
      <c r="D29" s="3"/>
      <c r="E29" s="3"/>
      <c r="F29" s="80">
        <f>F13/F10</f>
        <v>9.9395936298736956E-2</v>
      </c>
      <c r="G29" s="80">
        <f t="shared" ref="G29:H29" si="39">G13/G10</f>
        <v>9.8418209876543206E-2</v>
      </c>
      <c r="H29" s="81">
        <f t="shared" si="39"/>
        <v>9.6150269667100607E-2</v>
      </c>
      <c r="I29" s="80">
        <f>AVERAGE(F29:H29)</f>
        <v>9.7988138614126918E-2</v>
      </c>
      <c r="J29" s="80">
        <f t="shared" ref="J29:M29" si="40">AVERAGE(G29:I29)</f>
        <v>9.751887271925691E-2</v>
      </c>
      <c r="K29" s="80">
        <f t="shared" si="40"/>
        <v>9.7219093666828141E-2</v>
      </c>
      <c r="L29" s="80">
        <f t="shared" si="40"/>
        <v>9.7575368333403981E-2</v>
      </c>
      <c r="M29" s="183">
        <f t="shared" si="40"/>
        <v>9.7437778239829673E-2</v>
      </c>
      <c r="N29" s="1"/>
      <c r="O29" s="126"/>
      <c r="P29" s="3"/>
      <c r="Q29" s="3"/>
      <c r="R29" s="3"/>
      <c r="S29" s="80"/>
      <c r="T29" s="80"/>
      <c r="U29" s="183"/>
      <c r="V29" s="80"/>
      <c r="W29" s="80"/>
      <c r="X29" s="80"/>
      <c r="Y29" s="80"/>
      <c r="Z29" s="102"/>
    </row>
    <row r="30" spans="1:26" customFormat="1" x14ac:dyDescent="0.25">
      <c r="A30" s="3"/>
      <c r="B30" s="265" t="s">
        <v>53</v>
      </c>
      <c r="C30" s="3"/>
      <c r="D30" s="3"/>
      <c r="E30" s="3"/>
      <c r="F30" s="80">
        <f>F23/F10</f>
        <v>7.7586883188201144E-2</v>
      </c>
      <c r="G30" s="80">
        <f t="shared" ref="G30:H30" si="41">G23/G10</f>
        <v>8.0902777777777782E-2</v>
      </c>
      <c r="H30" s="81">
        <f t="shared" si="41"/>
        <v>8.1792821275804353E-2</v>
      </c>
      <c r="I30" s="80">
        <f>AVERAGE(F30:H30)</f>
        <v>8.0094160747261098E-2</v>
      </c>
      <c r="J30" s="80">
        <f>I30+0.1%</f>
        <v>8.1094160747261099E-2</v>
      </c>
      <c r="K30" s="80">
        <f t="shared" ref="K30:M30" si="42">J30+0.1%</f>
        <v>8.20941607472611E-2</v>
      </c>
      <c r="L30" s="80">
        <f t="shared" si="42"/>
        <v>8.30941607472611E-2</v>
      </c>
      <c r="M30" s="183">
        <f t="shared" si="42"/>
        <v>8.4094160747261101E-2</v>
      </c>
      <c r="N30" s="1"/>
      <c r="O30" s="145" t="s">
        <v>106</v>
      </c>
      <c r="P30" s="3"/>
      <c r="Q30" s="3"/>
      <c r="R30" s="3"/>
      <c r="S30" s="80"/>
      <c r="T30" s="80"/>
      <c r="U30" s="81"/>
      <c r="V30" s="71">
        <f>V18+V20-V23-V28</f>
        <v>16235.058568804969</v>
      </c>
      <c r="W30" s="71">
        <f t="shared" ref="W30:Z30" si="43">W18+W20-W23-W28</f>
        <v>17072.904995297227</v>
      </c>
      <c r="X30" s="71">
        <f t="shared" si="43"/>
        <v>17732.911150663418</v>
      </c>
      <c r="Y30" s="71">
        <f t="shared" si="43"/>
        <v>18412.279511477696</v>
      </c>
      <c r="Z30" s="146">
        <f t="shared" si="43"/>
        <v>19012.829571925555</v>
      </c>
    </row>
    <row r="31" spans="1:26" customFormat="1" x14ac:dyDescent="0.25">
      <c r="A31" s="3"/>
      <c r="B31" s="265" t="s">
        <v>112</v>
      </c>
      <c r="C31" s="3"/>
      <c r="D31" s="3"/>
      <c r="E31" s="3"/>
      <c r="F31" s="80">
        <f>F14/F10</f>
        <v>1.4983917784576762E-2</v>
      </c>
      <c r="G31" s="80">
        <f>G14/G10</f>
        <v>1.7245370370370369E-2</v>
      </c>
      <c r="H31" s="81">
        <f>H14/H10</f>
        <v>1.6998326204203086E-2</v>
      </c>
      <c r="I31" s="80">
        <f>AVERAGE(F31:H31)</f>
        <v>1.6409204786383406E-2</v>
      </c>
      <c r="J31" s="80">
        <f t="shared" ref="J31:M32" si="44">AVERAGE(G31:I31)</f>
        <v>1.6884300453652287E-2</v>
      </c>
      <c r="K31" s="80">
        <f t="shared" si="44"/>
        <v>1.676394381474626E-2</v>
      </c>
      <c r="L31" s="80">
        <f t="shared" si="44"/>
        <v>1.6685816351593986E-2</v>
      </c>
      <c r="M31" s="183">
        <f t="shared" si="44"/>
        <v>1.6778020206664176E-2</v>
      </c>
      <c r="N31" s="1"/>
      <c r="O31" s="127"/>
      <c r="P31" s="9"/>
      <c r="Q31" s="9"/>
      <c r="R31" s="9"/>
      <c r="S31" s="104"/>
      <c r="T31" s="104"/>
      <c r="U31" s="106"/>
      <c r="V31" s="104"/>
      <c r="W31" s="104"/>
      <c r="X31" s="104"/>
      <c r="Y31" s="104"/>
      <c r="Z31" s="107"/>
    </row>
    <row r="32" spans="1:26" customFormat="1" ht="15.75" thickBot="1" x14ac:dyDescent="0.3">
      <c r="A32" s="3"/>
      <c r="B32" s="265" t="s">
        <v>57</v>
      </c>
      <c r="C32" s="3"/>
      <c r="D32" s="3"/>
      <c r="E32" s="3"/>
      <c r="F32" s="80">
        <f>F16/F15</f>
        <v>0.11685412552588649</v>
      </c>
      <c r="G32" s="80">
        <f>G16/G15</f>
        <v>0.1285860655737705</v>
      </c>
      <c r="H32" s="81">
        <f>H16/H15</f>
        <v>0.1276630083925113</v>
      </c>
      <c r="I32" s="80">
        <f t="shared" ref="I32" si="45">AVERAGE(F32:H32)</f>
        <v>0.1243677331640561</v>
      </c>
      <c r="J32" s="80">
        <f t="shared" si="44"/>
        <v>0.12687226904344598</v>
      </c>
      <c r="K32" s="80">
        <f t="shared" si="44"/>
        <v>0.12630100353333781</v>
      </c>
      <c r="L32" s="80">
        <f t="shared" si="44"/>
        <v>0.12584700191361331</v>
      </c>
      <c r="M32" s="183">
        <f t="shared" si="44"/>
        <v>0.12634009149679903</v>
      </c>
      <c r="N32" s="1"/>
      <c r="O32" s="240" t="s">
        <v>107</v>
      </c>
      <c r="P32" s="14"/>
      <c r="Q32" s="14"/>
      <c r="R32" s="14"/>
      <c r="S32" s="241"/>
      <c r="T32" s="241"/>
      <c r="U32" s="241"/>
      <c r="V32" s="242">
        <f>V30/(1+$R$51)^V6</f>
        <v>15284.195164020808</v>
      </c>
      <c r="W32" s="242">
        <f>W30/(1+$R$51)^W6</f>
        <v>15131.600036424219</v>
      </c>
      <c r="X32" s="242">
        <f>X30/(1+$R$51)^X6</f>
        <v>14796.06336873331</v>
      </c>
      <c r="Y32" s="242">
        <f>Y30/(1+$R$51)^Y6</f>
        <v>14463.134288683746</v>
      </c>
      <c r="Z32" s="243">
        <f>Z30/(1+$R$51)^Z6</f>
        <v>14060.162159849579</v>
      </c>
    </row>
    <row r="33" spans="1:26" customFormat="1" x14ac:dyDescent="0.25">
      <c r="A33" s="3"/>
      <c r="B33" s="105" t="s">
        <v>54</v>
      </c>
      <c r="C33" s="9"/>
      <c r="D33" s="9"/>
      <c r="E33" s="9"/>
      <c r="F33" s="104">
        <f>F19/F18</f>
        <v>0.19511499714883102</v>
      </c>
      <c r="G33" s="104">
        <f>G19/G18</f>
        <v>0.20502658289028516</v>
      </c>
      <c r="H33" s="106">
        <f>H19/H18</f>
        <v>0.21418739102505277</v>
      </c>
      <c r="I33" s="104">
        <v>0.21</v>
      </c>
      <c r="J33" s="104">
        <v>0.21</v>
      </c>
      <c r="K33" s="104">
        <v>0.21</v>
      </c>
      <c r="L33" s="104">
        <v>0.21</v>
      </c>
      <c r="M33" s="262">
        <v>0.21</v>
      </c>
      <c r="N33" s="1"/>
      <c r="O33" s="3"/>
      <c r="P33" s="3"/>
      <c r="Q33" s="3"/>
      <c r="R33" s="3"/>
      <c r="S33" s="80"/>
      <c r="T33" s="80"/>
      <c r="U33" s="80"/>
      <c r="V33" s="94"/>
      <c r="W33" s="94"/>
      <c r="X33" s="94"/>
      <c r="Y33" s="94"/>
      <c r="Z33" s="94"/>
    </row>
    <row r="34" spans="1:26" customFormat="1" x14ac:dyDescent="0.25">
      <c r="A34" s="3"/>
      <c r="B34" s="112"/>
      <c r="C34" s="3"/>
      <c r="D34" s="3"/>
      <c r="E34" s="3"/>
      <c r="F34" s="80"/>
      <c r="G34" s="80"/>
      <c r="H34" s="80"/>
      <c r="I34" s="94"/>
      <c r="J34" s="94"/>
      <c r="K34" s="94"/>
      <c r="L34" s="94"/>
      <c r="M34" s="257"/>
      <c r="N34" s="1"/>
      <c r="O34" s="213" t="s">
        <v>155</v>
      </c>
      <c r="P34" s="91"/>
      <c r="Q34" s="91"/>
      <c r="R34" s="92"/>
      <c r="S34" s="217" t="s">
        <v>170</v>
      </c>
      <c r="T34" s="218"/>
      <c r="U34" s="218"/>
      <c r="V34" s="221"/>
      <c r="W34" s="213" t="s">
        <v>180</v>
      </c>
      <c r="X34" s="91"/>
      <c r="Y34" s="91"/>
      <c r="Z34" s="92"/>
    </row>
    <row r="35" spans="1:26" customFormat="1" ht="15.75" thickBot="1" x14ac:dyDescent="0.3">
      <c r="A35" s="3"/>
      <c r="B35" s="108" t="s">
        <v>60</v>
      </c>
      <c r="C35" s="12"/>
      <c r="D35" s="12"/>
      <c r="E35" s="12"/>
      <c r="F35" s="109"/>
      <c r="G35" s="109"/>
      <c r="H35" s="109"/>
      <c r="I35" s="110"/>
      <c r="J35" s="110"/>
      <c r="K35" s="110"/>
      <c r="L35" s="110"/>
      <c r="M35" s="263"/>
      <c r="N35" s="1"/>
      <c r="O35" s="196" t="s">
        <v>156</v>
      </c>
      <c r="P35" s="191"/>
      <c r="Q35" s="191"/>
      <c r="R35" s="202"/>
      <c r="S35" s="219" t="s">
        <v>168</v>
      </c>
      <c r="T35" s="25"/>
      <c r="U35" s="25"/>
      <c r="V35" s="203"/>
      <c r="W35" s="219" t="s">
        <v>172</v>
      </c>
      <c r="X35" s="216"/>
      <c r="Y35" s="216"/>
      <c r="Z35" s="19"/>
    </row>
    <row r="36" spans="1:26" customFormat="1" x14ac:dyDescent="0.25">
      <c r="A36" s="3"/>
      <c r="B36" s="3"/>
      <c r="C36" s="3"/>
      <c r="D36" s="3"/>
      <c r="E36" s="3"/>
      <c r="F36" s="80"/>
      <c r="G36" s="80"/>
      <c r="H36" s="80"/>
      <c r="I36" s="94"/>
      <c r="J36" s="94"/>
      <c r="K36" s="94"/>
      <c r="L36" s="94"/>
      <c r="M36" s="94"/>
      <c r="N36" s="1"/>
      <c r="O36" s="197"/>
      <c r="P36" s="23"/>
      <c r="Q36" s="23"/>
      <c r="R36" s="203"/>
      <c r="S36" s="220" t="str">
        <f>"FY"&amp;TEXT(Z8,"0")&amp;"E Unlevered Free Cash Flow"</f>
        <v>FY2030E Unlevered Free Cash Flow</v>
      </c>
      <c r="T36" s="25"/>
      <c r="U36" s="25"/>
      <c r="V36" s="214">
        <f>Z30</f>
        <v>19012.829571925555</v>
      </c>
      <c r="W36" s="225" t="str">
        <f>"NPV of UFCF "&amp;TEXT(V8,"0")&amp;" - "&amp;TEXT(Z8,"0")</f>
        <v>NPV of UFCF 2026 - 2030</v>
      </c>
      <c r="X36" s="216"/>
      <c r="Y36" s="3"/>
      <c r="Z36" s="227">
        <f>SUM(V32:Z32)</f>
        <v>73735.155017711659</v>
      </c>
    </row>
    <row r="37" spans="1:26" customFormat="1" x14ac:dyDescent="0.25">
      <c r="A37" s="3"/>
      <c r="B37" s="115" t="s">
        <v>108</v>
      </c>
      <c r="C37" s="17"/>
      <c r="D37" s="17"/>
      <c r="E37" s="17"/>
      <c r="F37" s="17"/>
      <c r="G37" s="17"/>
      <c r="H37" s="17"/>
      <c r="I37" s="90" t="s">
        <v>58</v>
      </c>
      <c r="J37" s="91"/>
      <c r="K37" s="91"/>
      <c r="L37" s="91"/>
      <c r="M37" s="92"/>
      <c r="N37" s="1"/>
      <c r="O37" s="197" t="s">
        <v>157</v>
      </c>
      <c r="P37" s="23"/>
      <c r="Q37" s="23"/>
      <c r="R37" s="204">
        <v>5.0200000000000002E-2</v>
      </c>
      <c r="S37" s="220" t="s">
        <v>169</v>
      </c>
      <c r="T37" s="25"/>
      <c r="U37" s="25"/>
      <c r="V37" s="215">
        <v>0.03</v>
      </c>
      <c r="W37" s="225" t="s">
        <v>173</v>
      </c>
      <c r="X37" s="216"/>
      <c r="Y37" s="3"/>
      <c r="Z37" s="227">
        <f>V39</f>
        <v>449580.19233946427</v>
      </c>
    </row>
    <row r="38" spans="1:26" customFormat="1" x14ac:dyDescent="0.25">
      <c r="A38" s="3"/>
      <c r="B38" s="119" t="s">
        <v>2</v>
      </c>
      <c r="C38" s="116"/>
      <c r="D38" s="22"/>
      <c r="E38" s="117" t="s">
        <v>3</v>
      </c>
      <c r="F38" s="86">
        <f>G38-1</f>
        <v>2023</v>
      </c>
      <c r="G38" s="86">
        <f>H38-1</f>
        <v>2024</v>
      </c>
      <c r="H38" s="87">
        <v>2025</v>
      </c>
      <c r="I38" s="88">
        <f>H38+1</f>
        <v>2026</v>
      </c>
      <c r="J38" s="88">
        <f>I38+1</f>
        <v>2027</v>
      </c>
      <c r="K38" s="88">
        <f>J38+1</f>
        <v>2028</v>
      </c>
      <c r="L38" s="88">
        <f>K38+1</f>
        <v>2029</v>
      </c>
      <c r="M38" s="89">
        <f>L38+1</f>
        <v>2030</v>
      </c>
      <c r="N38" s="1"/>
      <c r="O38" s="197" t="s">
        <v>158</v>
      </c>
      <c r="P38" s="23"/>
      <c r="Q38" s="23"/>
      <c r="R38" s="205">
        <v>0.41</v>
      </c>
      <c r="S38" s="219" t="s">
        <v>170</v>
      </c>
      <c r="T38" s="25"/>
      <c r="U38" s="25"/>
      <c r="V38" s="222">
        <f>(V36 * (1 + V37)) / (R51 - V37)</f>
        <v>607944.02501792996</v>
      </c>
      <c r="W38" s="226" t="s">
        <v>174</v>
      </c>
      <c r="X38" s="216"/>
      <c r="Y38" s="3"/>
      <c r="Z38" s="233">
        <f>SUM(Z36:Z37)</f>
        <v>523315.3473571759</v>
      </c>
    </row>
    <row r="39" spans="1:26" customFormat="1" x14ac:dyDescent="0.25">
      <c r="A39" s="3"/>
      <c r="B39" s="264"/>
      <c r="C39" s="21"/>
      <c r="D39" s="21"/>
      <c r="E39" s="78" t="s">
        <v>4</v>
      </c>
      <c r="F39" s="24"/>
      <c r="G39" s="24"/>
      <c r="H39" s="151"/>
      <c r="I39" s="152"/>
      <c r="J39" s="152"/>
      <c r="K39" s="152"/>
      <c r="L39" s="152"/>
      <c r="M39" s="153"/>
      <c r="N39" s="1"/>
      <c r="O39" s="197" t="s">
        <v>159</v>
      </c>
      <c r="P39" s="23"/>
      <c r="Q39" s="23"/>
      <c r="R39" s="206">
        <v>4.4499999999999998E-2</v>
      </c>
      <c r="S39" s="114" t="s">
        <v>171</v>
      </c>
      <c r="T39" s="3"/>
      <c r="U39" s="3"/>
      <c r="V39" s="224">
        <f>V38/(1+$R$51)^Z6</f>
        <v>449580.19233946427</v>
      </c>
      <c r="W39" s="197" t="s">
        <v>175</v>
      </c>
      <c r="X39" s="25"/>
      <c r="Y39" s="3"/>
      <c r="Z39" s="228">
        <f>-H107</f>
        <v>-39973</v>
      </c>
    </row>
    <row r="40" spans="1:26" customFormat="1" x14ac:dyDescent="0.25">
      <c r="A40" s="3"/>
      <c r="B40" s="150" t="s">
        <v>110</v>
      </c>
      <c r="C40" s="103"/>
      <c r="D40" s="103"/>
      <c r="E40" s="266"/>
      <c r="F40" s="71"/>
      <c r="G40" s="71"/>
      <c r="H40" s="72"/>
      <c r="I40" s="96"/>
      <c r="J40" s="96"/>
      <c r="K40" s="96"/>
      <c r="L40" s="96"/>
      <c r="M40" s="97"/>
      <c r="N40" s="1"/>
      <c r="O40" s="198" t="s">
        <v>160</v>
      </c>
      <c r="P40" s="192"/>
      <c r="Q40" s="193"/>
      <c r="R40" s="207">
        <f>R37+R38*R39</f>
        <v>6.8445000000000006E-2</v>
      </c>
      <c r="S40" s="8"/>
      <c r="T40" s="9"/>
      <c r="U40" s="9"/>
      <c r="V40" s="9"/>
      <c r="W40" s="197" t="s">
        <v>176</v>
      </c>
      <c r="X40" s="25"/>
      <c r="Y40" s="3"/>
      <c r="Z40" s="229">
        <f>H83</f>
        <v>774</v>
      </c>
    </row>
    <row r="41" spans="1:26" customFormat="1" x14ac:dyDescent="0.25">
      <c r="A41" s="3"/>
      <c r="B41" s="114" t="s">
        <v>13</v>
      </c>
      <c r="C41" s="3"/>
      <c r="D41" s="3"/>
      <c r="E41" s="3"/>
      <c r="F41" s="155">
        <f>F20</f>
        <v>8469</v>
      </c>
      <c r="G41" s="155">
        <f t="shared" ref="G41:M41" si="46">G20</f>
        <v>8224</v>
      </c>
      <c r="H41" s="169">
        <f t="shared" si="46"/>
        <v>8563</v>
      </c>
      <c r="I41" s="155">
        <f t="shared" si="46"/>
        <v>9000.0920965405421</v>
      </c>
      <c r="J41" s="155">
        <f t="shared" si="46"/>
        <v>9420.9406643855764</v>
      </c>
      <c r="K41" s="155">
        <f t="shared" si="46"/>
        <v>9874.8778516662969</v>
      </c>
      <c r="L41" s="155">
        <f t="shared" si="46"/>
        <v>10331.971480614025</v>
      </c>
      <c r="M41" s="156">
        <f t="shared" si="46"/>
        <v>10711.656661925739</v>
      </c>
      <c r="N41" s="1"/>
      <c r="O41" s="197"/>
      <c r="P41" s="23"/>
      <c r="Q41" s="23"/>
      <c r="R41" s="203"/>
      <c r="S41" s="174"/>
      <c r="T41" s="174"/>
      <c r="U41" s="174"/>
      <c r="V41" s="174"/>
      <c r="W41" s="124" t="s">
        <v>177</v>
      </c>
      <c r="X41" s="28"/>
      <c r="Y41" s="3"/>
      <c r="Z41" s="230">
        <f>SUM(Z38:Z40)</f>
        <v>484116.3473571759</v>
      </c>
    </row>
    <row r="42" spans="1:26" customFormat="1" x14ac:dyDescent="0.25">
      <c r="A42" s="3"/>
      <c r="B42" s="114" t="s">
        <v>68</v>
      </c>
      <c r="C42" s="3"/>
      <c r="D42" s="3"/>
      <c r="E42" s="3"/>
      <c r="F42" s="155">
        <f>Sheet2!B35</f>
        <v>1978</v>
      </c>
      <c r="G42" s="155">
        <f>Sheet2!C35</f>
        <v>2097</v>
      </c>
      <c r="H42" s="169">
        <f>Sheet2!D35</f>
        <v>2199</v>
      </c>
      <c r="I42" s="155">
        <f>I30*I10</f>
        <v>2282.5314023915216</v>
      </c>
      <c r="J42" s="155">
        <f t="shared" ref="J42:M42" si="47">J30*J10</f>
        <v>2426.5809775110979</v>
      </c>
      <c r="K42" s="155">
        <f t="shared" si="47"/>
        <v>2564.5901577415866</v>
      </c>
      <c r="L42" s="155">
        <f t="shared" si="47"/>
        <v>2720.4296041597427</v>
      </c>
      <c r="M42" s="156">
        <f t="shared" si="47"/>
        <v>2855.0359657575359</v>
      </c>
      <c r="N42" s="1"/>
      <c r="O42" s="197" t="s">
        <v>161</v>
      </c>
      <c r="P42" s="23"/>
      <c r="Q42" s="23"/>
      <c r="R42" s="208">
        <v>4.3999999999999997E-2</v>
      </c>
      <c r="S42" s="174"/>
      <c r="T42" s="174"/>
      <c r="U42" s="174"/>
      <c r="V42" s="174"/>
      <c r="W42" s="197" t="s">
        <v>178</v>
      </c>
      <c r="X42" s="25"/>
      <c r="Y42" s="3"/>
      <c r="Z42" s="231">
        <f>716.4</f>
        <v>716.4</v>
      </c>
    </row>
    <row r="43" spans="1:26" customFormat="1" x14ac:dyDescent="0.25">
      <c r="A43" s="3"/>
      <c r="B43" s="111" t="s">
        <v>113</v>
      </c>
      <c r="C43" s="3"/>
      <c r="D43" s="3"/>
      <c r="E43" s="3"/>
      <c r="F43" s="155">
        <f>Sheet2!B36</f>
        <v>-686</v>
      </c>
      <c r="G43" s="155">
        <f>Sheet2!C36</f>
        <v>-574</v>
      </c>
      <c r="H43" s="169">
        <f>Sheet2!D36</f>
        <v>-126</v>
      </c>
      <c r="I43" s="155">
        <f>AVERAGE(F43:H43)</f>
        <v>-462</v>
      </c>
      <c r="J43" s="155"/>
      <c r="K43" s="155"/>
      <c r="L43" s="155"/>
      <c r="M43" s="156"/>
      <c r="N43" s="1"/>
      <c r="O43" s="197" t="s">
        <v>162</v>
      </c>
      <c r="P43" s="23"/>
      <c r="Q43" s="23"/>
      <c r="R43" s="209">
        <v>0.21</v>
      </c>
      <c r="S43" s="174"/>
      <c r="T43" s="174"/>
      <c r="U43" s="174"/>
      <c r="V43" s="174"/>
      <c r="W43" s="124" t="s">
        <v>179</v>
      </c>
      <c r="X43" s="28"/>
      <c r="Y43" s="3"/>
      <c r="Z43" s="232">
        <f>Z41/Z42</f>
        <v>675.76262891844772</v>
      </c>
    </row>
    <row r="44" spans="1:26" customFormat="1" x14ac:dyDescent="0.25">
      <c r="A44" s="3"/>
      <c r="B44" s="111" t="s">
        <v>74</v>
      </c>
      <c r="C44" s="3"/>
      <c r="D44" s="3"/>
      <c r="E44" s="3"/>
      <c r="F44" s="3">
        <v>175</v>
      </c>
      <c r="G44" s="3">
        <v>172</v>
      </c>
      <c r="H44" s="20">
        <v>165</v>
      </c>
      <c r="I44" s="155">
        <f t="shared" ref="I44:I52" si="48">AVERAGE(F44:H44)</f>
        <v>170.66666666666666</v>
      </c>
      <c r="J44" s="155">
        <f t="shared" ref="J44:J46" si="49">AVERAGE(G44:I44)</f>
        <v>169.2222222222222</v>
      </c>
      <c r="K44" s="155">
        <f t="shared" ref="K44:K46" si="50">AVERAGE(H44:J44)</f>
        <v>168.29629629629628</v>
      </c>
      <c r="L44" s="155">
        <f t="shared" ref="L44:L46" si="51">AVERAGE(I44:K44)</f>
        <v>169.39506172839504</v>
      </c>
      <c r="M44" s="156">
        <f t="shared" ref="M44:M46" si="52">AVERAGE(J44:L44)</f>
        <v>168.97119341563783</v>
      </c>
      <c r="N44" s="1"/>
      <c r="O44" s="198" t="s">
        <v>163</v>
      </c>
      <c r="P44" s="192"/>
      <c r="Q44" s="192"/>
      <c r="R44" s="207">
        <f>R42*(1-R43)</f>
        <v>3.4759999999999999E-2</v>
      </c>
      <c r="S44" s="174"/>
      <c r="T44" s="174"/>
      <c r="U44" s="174"/>
      <c r="V44" s="174"/>
      <c r="W44" s="8"/>
      <c r="X44" s="9"/>
      <c r="Y44" s="9"/>
      <c r="Z44" s="10"/>
    </row>
    <row r="45" spans="1:26" customFormat="1" x14ac:dyDescent="0.25">
      <c r="A45" s="3"/>
      <c r="B45" s="111" t="s">
        <v>75</v>
      </c>
      <c r="C45" s="3"/>
      <c r="D45" s="3"/>
      <c r="E45" s="3"/>
      <c r="F45" s="3">
        <v>-103</v>
      </c>
      <c r="G45" s="3">
        <v>-37</v>
      </c>
      <c r="H45" s="20">
        <v>-149</v>
      </c>
      <c r="I45" s="155">
        <f t="shared" si="48"/>
        <v>-96.333333333333329</v>
      </c>
      <c r="J45" s="155">
        <f t="shared" si="49"/>
        <v>-94.1111111111111</v>
      </c>
      <c r="K45" s="155">
        <f t="shared" si="50"/>
        <v>-113.14814814814814</v>
      </c>
      <c r="L45" s="155">
        <f t="shared" si="51"/>
        <v>-101.19753086419752</v>
      </c>
      <c r="M45" s="156">
        <f t="shared" si="52"/>
        <v>-102.81893004115226</v>
      </c>
      <c r="N45" s="1"/>
      <c r="O45" s="197"/>
      <c r="P45" s="23"/>
      <c r="Q45" s="23"/>
      <c r="R45" s="203"/>
      <c r="S45" s="174"/>
      <c r="T45" s="174"/>
      <c r="U45" s="174"/>
      <c r="V45" s="174"/>
      <c r="W45" s="174"/>
      <c r="X45" s="174"/>
      <c r="Y45" s="174"/>
      <c r="Z45" s="174"/>
    </row>
    <row r="46" spans="1:26" customFormat="1" x14ac:dyDescent="0.25">
      <c r="A46" s="3"/>
      <c r="B46" s="111" t="s">
        <v>35</v>
      </c>
      <c r="C46" s="3"/>
      <c r="D46" s="3"/>
      <c r="E46" s="3"/>
      <c r="F46" s="3">
        <v>-113</v>
      </c>
      <c r="G46" s="3">
        <v>3</v>
      </c>
      <c r="H46" s="20">
        <v>-207</v>
      </c>
      <c r="I46" s="155">
        <f t="shared" si="48"/>
        <v>-105.66666666666667</v>
      </c>
      <c r="J46" s="155">
        <f t="shared" si="49"/>
        <v>-103.22222222222223</v>
      </c>
      <c r="K46" s="155">
        <f t="shared" si="50"/>
        <v>-138.62962962962965</v>
      </c>
      <c r="L46" s="155">
        <f t="shared" si="51"/>
        <v>-115.83950617283953</v>
      </c>
      <c r="M46" s="156">
        <f t="shared" si="52"/>
        <v>-119.23045267489714</v>
      </c>
      <c r="N46" s="1"/>
      <c r="O46" s="199" t="s">
        <v>164</v>
      </c>
      <c r="P46" s="23"/>
      <c r="Q46" s="23"/>
      <c r="R46" s="203"/>
      <c r="S46" s="174"/>
      <c r="T46" s="174"/>
      <c r="U46" s="174"/>
      <c r="V46" s="174"/>
      <c r="W46" s="174"/>
      <c r="X46" s="174"/>
      <c r="Y46" s="174"/>
      <c r="Z46" s="174"/>
    </row>
    <row r="47" spans="1:26" customFormat="1" x14ac:dyDescent="0.25">
      <c r="A47" s="3"/>
      <c r="B47" s="114" t="s">
        <v>76</v>
      </c>
      <c r="C47" s="3"/>
      <c r="D47" s="3"/>
      <c r="E47" s="3"/>
      <c r="F47" s="3"/>
      <c r="G47" s="3"/>
      <c r="H47" s="20"/>
      <c r="I47" s="155"/>
      <c r="J47" s="155"/>
      <c r="K47" s="155"/>
      <c r="L47" s="155"/>
      <c r="M47" s="156"/>
      <c r="N47" s="1"/>
      <c r="O47" s="122" t="s">
        <v>165</v>
      </c>
      <c r="P47" s="23"/>
      <c r="Q47" s="194">
        <f>H107</f>
        <v>39973</v>
      </c>
      <c r="R47" s="210">
        <f>Q47/Q49</f>
        <v>0.18503191642017655</v>
      </c>
      <c r="S47" s="174"/>
      <c r="T47" s="174"/>
      <c r="U47" s="174"/>
      <c r="V47" s="174"/>
      <c r="W47" s="174"/>
      <c r="X47" s="174"/>
      <c r="Y47" s="174"/>
      <c r="Z47" s="174"/>
    </row>
    <row r="48" spans="1:26" customFormat="1" x14ac:dyDescent="0.25">
      <c r="A48" s="3"/>
      <c r="B48" s="111" t="s">
        <v>77</v>
      </c>
      <c r="C48" s="3"/>
      <c r="D48" s="3"/>
      <c r="E48" s="3"/>
      <c r="F48" s="3">
        <v>-161</v>
      </c>
      <c r="G48" s="3">
        <v>10</v>
      </c>
      <c r="H48" s="20">
        <v>231</v>
      </c>
      <c r="I48" s="155">
        <f t="shared" si="48"/>
        <v>26.666666666666668</v>
      </c>
      <c r="J48" s="155">
        <f t="shared" ref="J48:J52" si="53">AVERAGE(G48:I48)</f>
        <v>89.222222222222229</v>
      </c>
      <c r="K48" s="155">
        <f t="shared" ref="K48:K52" si="54">AVERAGE(H48:J48)</f>
        <v>115.62962962962963</v>
      </c>
      <c r="L48" s="155">
        <f t="shared" ref="L48:L52" si="55">AVERAGE(I48:K48)</f>
        <v>77.172839506172849</v>
      </c>
      <c r="M48" s="156">
        <f t="shared" ref="M48:M52" si="56">AVERAGE(J48:L48)</f>
        <v>94.008230452674908</v>
      </c>
      <c r="N48" s="1"/>
      <c r="O48" s="122" t="s">
        <v>166</v>
      </c>
      <c r="P48" s="23"/>
      <c r="Q48" s="194">
        <f>176060</f>
        <v>176060</v>
      </c>
      <c r="R48" s="210">
        <f>Q48/Q49</f>
        <v>0.81496808357982342</v>
      </c>
      <c r="S48" s="174"/>
      <c r="T48" s="174"/>
      <c r="U48" s="174"/>
      <c r="V48" s="174"/>
      <c r="W48" s="174"/>
      <c r="X48" s="174"/>
      <c r="Y48" s="174"/>
      <c r="Z48" s="174"/>
    </row>
    <row r="49" spans="1:26" customFormat="1" x14ac:dyDescent="0.25">
      <c r="A49" s="3"/>
      <c r="B49" s="111" t="s">
        <v>78</v>
      </c>
      <c r="C49" s="3"/>
      <c r="D49" s="3"/>
      <c r="E49" s="3"/>
      <c r="F49" s="3">
        <v>17</v>
      </c>
      <c r="G49" s="3">
        <v>71</v>
      </c>
      <c r="H49" s="20">
        <v>-140</v>
      </c>
      <c r="I49" s="155">
        <f t="shared" si="48"/>
        <v>-17.333333333333332</v>
      </c>
      <c r="J49" s="155">
        <f t="shared" si="53"/>
        <v>-28.777777777777775</v>
      </c>
      <c r="K49" s="155">
        <f t="shared" si="54"/>
        <v>-62.037037037037038</v>
      </c>
      <c r="L49" s="155">
        <f t="shared" si="55"/>
        <v>-36.049382716049386</v>
      </c>
      <c r="M49" s="156">
        <f t="shared" si="56"/>
        <v>-42.288065843621403</v>
      </c>
      <c r="N49" s="1"/>
      <c r="O49" s="200" t="s">
        <v>167</v>
      </c>
      <c r="P49" s="192"/>
      <c r="Q49" s="195">
        <f>SUM(Q47:Q48)</f>
        <v>216033</v>
      </c>
      <c r="R49" s="211">
        <v>1</v>
      </c>
      <c r="S49" s="174"/>
      <c r="T49" s="174"/>
      <c r="U49" s="174"/>
      <c r="V49" s="174"/>
      <c r="W49" s="174"/>
      <c r="X49" s="174"/>
      <c r="Y49" s="174"/>
      <c r="Z49" s="174"/>
    </row>
    <row r="50" spans="1:26" customFormat="1" x14ac:dyDescent="0.25">
      <c r="A50" s="3"/>
      <c r="B50" s="111" t="s">
        <v>79</v>
      </c>
      <c r="C50" s="3"/>
      <c r="D50" s="3"/>
      <c r="E50" s="3"/>
      <c r="F50" s="3">
        <v>50</v>
      </c>
      <c r="G50" s="3">
        <v>-10</v>
      </c>
      <c r="H50" s="20">
        <v>100</v>
      </c>
      <c r="I50" s="155">
        <f t="shared" si="48"/>
        <v>46.666666666666664</v>
      </c>
      <c r="J50" s="155">
        <f t="shared" si="53"/>
        <v>45.55555555555555</v>
      </c>
      <c r="K50" s="155">
        <f t="shared" si="54"/>
        <v>64.074074074074062</v>
      </c>
      <c r="L50" s="155">
        <f t="shared" si="55"/>
        <v>52.098765432098759</v>
      </c>
      <c r="M50" s="156">
        <f t="shared" si="56"/>
        <v>53.909465020576128</v>
      </c>
      <c r="N50" s="1"/>
      <c r="O50" s="197"/>
      <c r="P50" s="23"/>
      <c r="Q50" s="23"/>
      <c r="R50" s="203"/>
      <c r="S50" s="174"/>
      <c r="T50" s="174"/>
      <c r="U50" s="174"/>
      <c r="V50" s="174"/>
      <c r="W50" s="174"/>
      <c r="X50" s="174"/>
      <c r="Y50" s="174"/>
      <c r="Z50" s="174"/>
    </row>
    <row r="51" spans="1:26" customFormat="1" ht="15.75" thickBot="1" x14ac:dyDescent="0.3">
      <c r="A51" s="3"/>
      <c r="B51" s="111" t="s">
        <v>80</v>
      </c>
      <c r="C51" s="3"/>
      <c r="D51" s="3"/>
      <c r="E51" s="3"/>
      <c r="F51" s="3">
        <v>-220</v>
      </c>
      <c r="G51" s="3">
        <v>-292</v>
      </c>
      <c r="H51" s="20">
        <v>-239</v>
      </c>
      <c r="I51" s="155">
        <f t="shared" si="48"/>
        <v>-250.33333333333334</v>
      </c>
      <c r="J51" s="155">
        <f t="shared" si="53"/>
        <v>-260.44444444444446</v>
      </c>
      <c r="K51" s="155">
        <f t="shared" si="54"/>
        <v>-249.92592592592595</v>
      </c>
      <c r="L51" s="155">
        <f t="shared" si="55"/>
        <v>-253.56790123456793</v>
      </c>
      <c r="M51" s="156">
        <f t="shared" si="56"/>
        <v>-254.64609053497944</v>
      </c>
      <c r="N51" s="1"/>
      <c r="O51" s="201" t="s">
        <v>156</v>
      </c>
      <c r="P51" s="190"/>
      <c r="Q51" s="190"/>
      <c r="R51" s="212">
        <f>R47*R44+R48*R40</f>
        <v>6.2212199895386351E-2</v>
      </c>
      <c r="S51" s="174"/>
      <c r="T51" s="174"/>
      <c r="U51" s="174"/>
      <c r="V51" s="174"/>
      <c r="W51" s="174"/>
      <c r="X51" s="174"/>
      <c r="Y51" s="174"/>
      <c r="Z51" s="174"/>
    </row>
    <row r="52" spans="1:26" customFormat="1" ht="15.75" thickTop="1" x14ac:dyDescent="0.25">
      <c r="A52" s="3"/>
      <c r="B52" s="8" t="s">
        <v>81</v>
      </c>
      <c r="C52" s="9"/>
      <c r="D52" s="9"/>
      <c r="E52" s="9"/>
      <c r="F52" s="9">
        <v>206</v>
      </c>
      <c r="G52" s="9">
        <v>-217</v>
      </c>
      <c r="H52" s="83">
        <v>154</v>
      </c>
      <c r="I52" s="155">
        <f t="shared" si="48"/>
        <v>47.666666666666664</v>
      </c>
      <c r="J52" s="155">
        <f t="shared" si="53"/>
        <v>-5.1111111111111116</v>
      </c>
      <c r="K52" s="155">
        <f t="shared" si="54"/>
        <v>65.518518518518519</v>
      </c>
      <c r="L52" s="155">
        <f t="shared" si="55"/>
        <v>36.02469135802469</v>
      </c>
      <c r="M52" s="156">
        <f t="shared" si="56"/>
        <v>32.144032921810698</v>
      </c>
      <c r="N52" s="1"/>
      <c r="O52" s="234"/>
      <c r="P52" s="235"/>
      <c r="Q52" s="235"/>
      <c r="R52" s="236"/>
      <c r="S52" s="174"/>
      <c r="T52" s="174"/>
      <c r="U52" s="174"/>
      <c r="V52" s="174"/>
      <c r="W52" s="174"/>
      <c r="X52" s="174"/>
      <c r="Y52" s="174"/>
      <c r="Z52" s="174"/>
    </row>
    <row r="53" spans="1:26" customFormat="1" ht="15.75" thickBot="1" x14ac:dyDescent="0.3">
      <c r="A53" s="3"/>
      <c r="B53" s="158" t="s">
        <v>82</v>
      </c>
      <c r="C53" s="76"/>
      <c r="D53" s="76"/>
      <c r="E53" s="76"/>
      <c r="F53" s="75">
        <f>SUM(F41:F52)</f>
        <v>9612</v>
      </c>
      <c r="G53" s="75">
        <f t="shared" ref="G53:H53" si="57">SUM(G41:G52)</f>
        <v>9447</v>
      </c>
      <c r="H53" s="84">
        <f t="shared" si="57"/>
        <v>10551</v>
      </c>
      <c r="I53" s="75">
        <f>SUM(I41:I52)</f>
        <v>10642.62349893206</v>
      </c>
      <c r="J53" s="75">
        <f t="shared" ref="J53:M53" si="58">SUM(J41:J52)</f>
        <v>11659.854975230006</v>
      </c>
      <c r="K53" s="75">
        <f t="shared" si="58"/>
        <v>12289.245787185662</v>
      </c>
      <c r="L53" s="75">
        <f t="shared" si="58"/>
        <v>12880.438121810805</v>
      </c>
      <c r="M53" s="154">
        <f t="shared" si="58"/>
        <v>13396.742010399324</v>
      </c>
      <c r="N53" s="1"/>
      <c r="O53" s="174"/>
      <c r="P53" s="174"/>
      <c r="Q53" s="174"/>
      <c r="R53" s="174"/>
      <c r="S53" s="174"/>
      <c r="T53" s="174"/>
      <c r="U53" s="174"/>
      <c r="V53" s="174"/>
      <c r="W53" s="174"/>
      <c r="X53" s="174"/>
      <c r="Y53" s="174"/>
      <c r="Z53" s="174"/>
    </row>
    <row r="54" spans="1:26" customFormat="1" ht="15.75" thickTop="1" x14ac:dyDescent="0.25">
      <c r="A54" s="3"/>
      <c r="B54" s="159" t="s">
        <v>114</v>
      </c>
      <c r="C54" s="160"/>
      <c r="D54" s="160"/>
      <c r="E54" s="3"/>
      <c r="F54" s="3"/>
      <c r="G54" s="3"/>
      <c r="H54" s="20"/>
      <c r="I54" s="155"/>
      <c r="J54" s="155"/>
      <c r="K54" s="155"/>
      <c r="L54" s="155"/>
      <c r="M54" s="179"/>
      <c r="N54" s="1"/>
      <c r="O54" s="174"/>
      <c r="P54" s="174"/>
      <c r="Q54" s="174"/>
      <c r="R54" s="174"/>
      <c r="S54" s="174"/>
      <c r="T54" s="174"/>
      <c r="U54" s="174"/>
      <c r="V54" s="174"/>
      <c r="W54" s="174"/>
      <c r="X54" s="174"/>
      <c r="Y54" s="174"/>
      <c r="Z54" s="174"/>
    </row>
    <row r="55" spans="1:26" customFormat="1" x14ac:dyDescent="0.25">
      <c r="A55" s="3"/>
      <c r="B55" s="111" t="s">
        <v>84</v>
      </c>
      <c r="C55" s="3"/>
      <c r="D55" s="3"/>
      <c r="E55" s="3"/>
      <c r="F55" s="62">
        <v>-2357</v>
      </c>
      <c r="G55" s="62">
        <v>-2775</v>
      </c>
      <c r="H55" s="63">
        <v>-3365</v>
      </c>
      <c r="I55" s="177">
        <f>H55</f>
        <v>-3365</v>
      </c>
      <c r="J55" s="177">
        <f>3482.775*-1</f>
        <v>-3482.7750000000001</v>
      </c>
      <c r="K55" s="177">
        <f t="shared" ref="K55:M55" si="59">3482.775*-1</f>
        <v>-3482.7750000000001</v>
      </c>
      <c r="L55" s="177">
        <f t="shared" si="59"/>
        <v>-3482.7750000000001</v>
      </c>
      <c r="M55" s="178">
        <f t="shared" si="59"/>
        <v>-3482.7750000000001</v>
      </c>
      <c r="N55" s="1"/>
      <c r="O55" s="174"/>
      <c r="P55" s="174"/>
      <c r="Q55" s="174"/>
      <c r="R55" s="174"/>
      <c r="S55" s="174"/>
      <c r="T55" s="174"/>
      <c r="U55" s="174"/>
      <c r="V55" s="174"/>
      <c r="W55" s="174"/>
      <c r="X55" s="174"/>
      <c r="Y55" s="174"/>
      <c r="Z55" s="174"/>
    </row>
    <row r="56" spans="1:26" customFormat="1" x14ac:dyDescent="0.25">
      <c r="A56" s="3"/>
      <c r="B56" s="111" t="s">
        <v>85</v>
      </c>
      <c r="C56" s="3"/>
      <c r="D56" s="3"/>
      <c r="E56" s="3"/>
      <c r="F56" s="3">
        <v>-441</v>
      </c>
      <c r="G56" s="3">
        <v>-669</v>
      </c>
      <c r="H56" s="20">
        <v>-354</v>
      </c>
      <c r="I56" s="155">
        <f>AVERAGE(F56:H56)</f>
        <v>-488</v>
      </c>
      <c r="J56" s="155">
        <f t="shared" ref="J56:M56" si="60">AVERAGE(G56:I56)</f>
        <v>-503.66666666666669</v>
      </c>
      <c r="K56" s="155">
        <f t="shared" si="60"/>
        <v>-448.5555555555556</v>
      </c>
      <c r="L56" s="155">
        <f t="shared" si="60"/>
        <v>-480.07407407407413</v>
      </c>
      <c r="M56" s="156">
        <f t="shared" si="60"/>
        <v>-477.43209876543216</v>
      </c>
      <c r="N56" s="1"/>
      <c r="O56" s="174"/>
      <c r="P56" s="174"/>
      <c r="Q56" s="174"/>
      <c r="R56" s="174"/>
      <c r="S56" s="174"/>
      <c r="T56" s="174"/>
      <c r="U56" s="174"/>
      <c r="V56" s="174"/>
      <c r="W56" s="174"/>
      <c r="X56" s="174"/>
      <c r="Y56" s="174"/>
      <c r="Z56" s="174"/>
    </row>
    <row r="57" spans="1:26" customFormat="1" x14ac:dyDescent="0.25">
      <c r="A57" s="3"/>
      <c r="B57" s="111" t="s">
        <v>86</v>
      </c>
      <c r="C57" s="3"/>
      <c r="D57" s="3"/>
      <c r="E57" s="3"/>
      <c r="F57" s="3">
        <v>0</v>
      </c>
      <c r="G57" s="62">
        <v>-1837</v>
      </c>
      <c r="H57" s="20">
        <v>0</v>
      </c>
      <c r="I57" s="155">
        <v>0</v>
      </c>
      <c r="J57" s="155">
        <v>0</v>
      </c>
      <c r="K57" s="155">
        <v>0</v>
      </c>
      <c r="L57" s="155">
        <v>0</v>
      </c>
      <c r="M57" s="156">
        <v>0</v>
      </c>
      <c r="N57" s="1"/>
      <c r="O57" s="174"/>
      <c r="P57" s="174"/>
      <c r="Q57" s="174"/>
      <c r="R57" s="174"/>
      <c r="S57" s="174"/>
      <c r="T57" s="174"/>
      <c r="U57" s="174"/>
      <c r="V57" s="174"/>
      <c r="W57" s="174"/>
      <c r="X57" s="174"/>
      <c r="Y57" s="174"/>
      <c r="Z57" s="174"/>
    </row>
    <row r="58" spans="1:26" customFormat="1" x14ac:dyDescent="0.25">
      <c r="A58" s="3"/>
      <c r="B58" s="111" t="s">
        <v>87</v>
      </c>
      <c r="C58" s="3"/>
      <c r="D58" s="3"/>
      <c r="E58" s="3"/>
      <c r="F58" s="3">
        <v>195</v>
      </c>
      <c r="G58" s="3">
        <v>311</v>
      </c>
      <c r="H58" s="20">
        <v>346</v>
      </c>
      <c r="I58" s="125">
        <f>AVERAGE(F58:H58)</f>
        <v>284</v>
      </c>
      <c r="J58" s="125">
        <f t="shared" ref="J58:M60" si="61">AVERAGE(G58:I58)</f>
        <v>313.66666666666669</v>
      </c>
      <c r="K58" s="125">
        <f t="shared" si="61"/>
        <v>314.5555555555556</v>
      </c>
      <c r="L58" s="125">
        <f t="shared" si="61"/>
        <v>304.07407407407413</v>
      </c>
      <c r="M58" s="157">
        <f t="shared" si="61"/>
        <v>310.76543209876547</v>
      </c>
      <c r="N58" s="1"/>
      <c r="O58" s="174"/>
      <c r="P58" s="174"/>
      <c r="Q58" s="174"/>
      <c r="R58" s="174"/>
      <c r="S58" s="174"/>
      <c r="T58" s="174"/>
      <c r="U58" s="174"/>
      <c r="V58" s="174"/>
      <c r="W58" s="174"/>
      <c r="X58" s="174"/>
      <c r="Y58" s="174"/>
      <c r="Z58" s="174"/>
    </row>
    <row r="59" spans="1:26" customFormat="1" x14ac:dyDescent="0.25">
      <c r="A59" s="3"/>
      <c r="B59" s="111" t="s">
        <v>88</v>
      </c>
      <c r="C59" s="3"/>
      <c r="D59" s="3"/>
      <c r="E59" s="3"/>
      <c r="F59" s="3">
        <v>95</v>
      </c>
      <c r="G59" s="3">
        <v>122</v>
      </c>
      <c r="H59" s="20">
        <v>130</v>
      </c>
      <c r="I59" s="125">
        <f t="shared" ref="I59:I60" si="62">AVERAGE(F59:H59)</f>
        <v>115.66666666666667</v>
      </c>
      <c r="J59" s="125">
        <f t="shared" si="61"/>
        <v>122.55555555555556</v>
      </c>
      <c r="K59" s="125">
        <f t="shared" si="61"/>
        <v>122.74074074074075</v>
      </c>
      <c r="L59" s="125">
        <f t="shared" si="61"/>
        <v>120.320987654321</v>
      </c>
      <c r="M59" s="157">
        <f t="shared" si="61"/>
        <v>121.87242798353911</v>
      </c>
      <c r="N59" s="1"/>
      <c r="O59" s="174"/>
      <c r="P59" s="174"/>
      <c r="Q59" s="174"/>
      <c r="R59" s="174"/>
      <c r="S59" s="174"/>
      <c r="T59" s="174"/>
      <c r="U59" s="174"/>
      <c r="V59" s="174"/>
      <c r="W59" s="174"/>
      <c r="X59" s="174"/>
      <c r="Y59" s="174"/>
      <c r="Z59" s="174"/>
    </row>
    <row r="60" spans="1:26" customFormat="1" x14ac:dyDescent="0.25">
      <c r="A60" s="3"/>
      <c r="B60" s="8" t="s">
        <v>35</v>
      </c>
      <c r="C60" s="9"/>
      <c r="D60" s="9"/>
      <c r="E60" s="9"/>
      <c r="F60" s="9">
        <v>-676</v>
      </c>
      <c r="G60" s="9">
        <v>-498</v>
      </c>
      <c r="H60" s="83">
        <v>-579</v>
      </c>
      <c r="I60" s="125">
        <f t="shared" si="62"/>
        <v>-584.33333333333337</v>
      </c>
      <c r="J60" s="125">
        <f t="shared" si="61"/>
        <v>-553.77777777777783</v>
      </c>
      <c r="K60" s="125">
        <f t="shared" si="61"/>
        <v>-572.37037037037044</v>
      </c>
      <c r="L60" s="125">
        <f t="shared" si="61"/>
        <v>-570.16049382716062</v>
      </c>
      <c r="M60" s="157">
        <f t="shared" si="61"/>
        <v>-565.4362139917697</v>
      </c>
      <c r="N60" s="1"/>
      <c r="O60" s="174"/>
      <c r="P60" s="174"/>
      <c r="Q60" s="174"/>
      <c r="R60" s="174"/>
      <c r="S60" s="174"/>
      <c r="T60" s="174"/>
      <c r="U60" s="174"/>
      <c r="V60" s="174"/>
      <c r="W60" s="174"/>
      <c r="X60" s="174"/>
      <c r="Y60" s="174"/>
      <c r="Z60" s="174"/>
    </row>
    <row r="61" spans="1:26" customFormat="1" ht="15.75" thickBot="1" x14ac:dyDescent="0.3">
      <c r="A61" s="3"/>
      <c r="B61" s="158" t="s">
        <v>89</v>
      </c>
      <c r="C61" s="163"/>
      <c r="D61" s="163"/>
      <c r="E61" s="163"/>
      <c r="F61" s="75">
        <f>SUM(F55:F60)</f>
        <v>-3184</v>
      </c>
      <c r="G61" s="75">
        <f t="shared" ref="G61:H61" si="63">SUM(G55:G60)</f>
        <v>-5346</v>
      </c>
      <c r="H61" s="84">
        <f t="shared" si="63"/>
        <v>-3822</v>
      </c>
      <c r="I61" s="75">
        <f t="shared" ref="I61" si="64">SUM(I55:I60)</f>
        <v>-4037.666666666667</v>
      </c>
      <c r="J61" s="75">
        <f t="shared" ref="J61" si="65">SUM(J55:J60)</f>
        <v>-4103.9972222222223</v>
      </c>
      <c r="K61" s="75">
        <f t="shared" ref="K61" si="66">SUM(K55:K60)</f>
        <v>-4066.4046296296297</v>
      </c>
      <c r="L61" s="75">
        <f t="shared" ref="L61" si="67">SUM(L55:L60)</f>
        <v>-4108.6145061728403</v>
      </c>
      <c r="M61" s="154">
        <f t="shared" ref="M61" si="68">SUM(M55:M60)</f>
        <v>-4093.0054526748977</v>
      </c>
      <c r="N61" s="1"/>
      <c r="O61" s="174"/>
      <c r="P61" s="174"/>
      <c r="Q61" s="174"/>
      <c r="R61" s="174"/>
      <c r="S61" s="174"/>
      <c r="T61" s="174"/>
      <c r="U61" s="174"/>
      <c r="V61" s="174"/>
      <c r="W61" s="174"/>
      <c r="X61" s="174"/>
      <c r="Y61" s="174"/>
      <c r="Z61" s="174"/>
    </row>
    <row r="62" spans="1:26" customFormat="1" ht="15.75" thickTop="1" x14ac:dyDescent="0.25">
      <c r="A62" s="3"/>
      <c r="B62" s="114" t="s">
        <v>90</v>
      </c>
      <c r="C62" s="3"/>
      <c r="D62" s="3"/>
      <c r="E62" s="3"/>
      <c r="F62" s="3"/>
      <c r="G62" s="3"/>
      <c r="H62" s="20"/>
      <c r="I62" s="125"/>
      <c r="J62" s="125"/>
      <c r="K62" s="125"/>
      <c r="L62" s="125"/>
      <c r="M62" s="157"/>
      <c r="N62" s="1"/>
      <c r="O62" s="174"/>
      <c r="P62" s="174"/>
      <c r="Q62" s="174"/>
      <c r="R62" s="174"/>
      <c r="S62" s="174"/>
      <c r="T62" s="174"/>
      <c r="U62" s="174"/>
      <c r="V62" s="174"/>
      <c r="W62" s="174"/>
      <c r="X62" s="174"/>
      <c r="Y62" s="174"/>
      <c r="Z62" s="174"/>
    </row>
    <row r="63" spans="1:26" customFormat="1" x14ac:dyDescent="0.25">
      <c r="A63" s="3"/>
      <c r="B63" s="111" t="s">
        <v>91</v>
      </c>
      <c r="C63" s="3"/>
      <c r="D63" s="3"/>
      <c r="E63" s="3"/>
      <c r="F63" s="3">
        <v>213</v>
      </c>
      <c r="G63" s="3">
        <v>326</v>
      </c>
      <c r="H63" s="20">
        <v>6</v>
      </c>
      <c r="I63" s="125">
        <v>50</v>
      </c>
      <c r="J63" s="125">
        <v>50</v>
      </c>
      <c r="K63" s="125">
        <v>50</v>
      </c>
      <c r="L63" s="125">
        <v>50</v>
      </c>
      <c r="M63" s="157">
        <v>50</v>
      </c>
      <c r="N63" s="1"/>
      <c r="O63" s="174"/>
      <c r="P63" s="174"/>
      <c r="Q63" s="174"/>
      <c r="R63" s="174"/>
      <c r="S63" s="174"/>
      <c r="T63" s="174"/>
      <c r="U63" s="174"/>
      <c r="V63" s="174"/>
      <c r="W63" s="174"/>
      <c r="X63" s="174"/>
      <c r="Y63" s="174"/>
      <c r="Z63" s="174"/>
    </row>
    <row r="64" spans="1:26" customFormat="1" x14ac:dyDescent="0.25">
      <c r="A64" s="3"/>
      <c r="B64" s="111" t="s">
        <v>92</v>
      </c>
      <c r="C64" s="3"/>
      <c r="D64" s="3"/>
      <c r="E64" s="3"/>
      <c r="F64" s="62">
        <v>5221</v>
      </c>
      <c r="G64" s="62">
        <v>2380</v>
      </c>
      <c r="H64" s="63">
        <v>4724</v>
      </c>
      <c r="I64" s="155">
        <f>AVERAGE(F64:H64)</f>
        <v>4108.333333333333</v>
      </c>
      <c r="J64" s="155">
        <f t="shared" ref="J64:M69" si="69">AVERAGE(G64:I64)</f>
        <v>3737.4444444444439</v>
      </c>
      <c r="K64" s="155">
        <f t="shared" si="69"/>
        <v>4189.9259259259252</v>
      </c>
      <c r="L64" s="155">
        <f t="shared" si="69"/>
        <v>4011.9012345679007</v>
      </c>
      <c r="M64" s="156">
        <f t="shared" si="69"/>
        <v>3979.7572016460895</v>
      </c>
      <c r="N64" s="1"/>
      <c r="O64" s="174"/>
      <c r="P64" s="174"/>
      <c r="Q64" s="174"/>
      <c r="R64" s="174"/>
      <c r="S64" s="174"/>
      <c r="T64" s="174"/>
      <c r="U64" s="174"/>
      <c r="V64" s="174"/>
      <c r="W64" s="174"/>
      <c r="X64" s="174"/>
      <c r="Y64" s="174"/>
      <c r="Z64" s="174"/>
    </row>
    <row r="65" spans="1:26" customFormat="1" x14ac:dyDescent="0.25">
      <c r="A65" s="3"/>
      <c r="B65" s="111" t="s">
        <v>93</v>
      </c>
      <c r="C65" s="3"/>
      <c r="D65" s="3"/>
      <c r="E65" s="3"/>
      <c r="F65" s="62">
        <v>-2441</v>
      </c>
      <c r="G65" s="62">
        <v>-2777</v>
      </c>
      <c r="H65" s="63">
        <v>-4802</v>
      </c>
      <c r="I65" s="155">
        <f t="shared" ref="I65:I69" si="70">AVERAGE(F65:H65)</f>
        <v>-3340</v>
      </c>
      <c r="J65" s="155">
        <f t="shared" si="69"/>
        <v>-3639.6666666666665</v>
      </c>
      <c r="K65" s="155">
        <f t="shared" si="69"/>
        <v>-3927.2222222222222</v>
      </c>
      <c r="L65" s="155">
        <f t="shared" si="69"/>
        <v>-3635.6296296296296</v>
      </c>
      <c r="M65" s="156">
        <f t="shared" si="69"/>
        <v>-3734.1728395061727</v>
      </c>
      <c r="N65" s="1"/>
      <c r="O65" s="174"/>
      <c r="P65" s="174"/>
      <c r="Q65" s="174"/>
      <c r="R65" s="174"/>
      <c r="S65" s="174"/>
      <c r="T65" s="174"/>
      <c r="U65" s="174"/>
      <c r="V65" s="174"/>
      <c r="W65" s="174"/>
      <c r="X65" s="174"/>
      <c r="Y65" s="174"/>
      <c r="Z65" s="174"/>
    </row>
    <row r="66" spans="1:26" customFormat="1" x14ac:dyDescent="0.25">
      <c r="A66" s="3"/>
      <c r="B66" s="111" t="s">
        <v>94</v>
      </c>
      <c r="C66" s="3"/>
      <c r="D66" s="3"/>
      <c r="E66" s="3"/>
      <c r="F66" s="62">
        <v>-3054</v>
      </c>
      <c r="G66" s="62">
        <v>-2824</v>
      </c>
      <c r="H66" s="63">
        <v>-2056</v>
      </c>
      <c r="I66" s="155">
        <f t="shared" si="70"/>
        <v>-2644.6666666666665</v>
      </c>
      <c r="J66" s="155">
        <f t="shared" si="69"/>
        <v>-2508.2222222222222</v>
      </c>
      <c r="K66" s="155">
        <f t="shared" si="69"/>
        <v>-2402.962962962963</v>
      </c>
      <c r="L66" s="155">
        <f t="shared" si="69"/>
        <v>-2518.6172839506175</v>
      </c>
      <c r="M66" s="156">
        <f t="shared" si="69"/>
        <v>-2476.6008230452676</v>
      </c>
      <c r="N66" s="1"/>
      <c r="O66" s="174"/>
      <c r="P66" s="174"/>
      <c r="Q66" s="174"/>
      <c r="R66" s="174"/>
      <c r="S66" s="174"/>
      <c r="T66" s="174"/>
      <c r="U66" s="174"/>
      <c r="V66" s="174"/>
      <c r="W66" s="174"/>
      <c r="X66" s="174"/>
      <c r="Y66" s="174"/>
      <c r="Z66" s="174"/>
    </row>
    <row r="67" spans="1:26" customFormat="1" x14ac:dyDescent="0.25">
      <c r="A67" s="3"/>
      <c r="B67" s="111" t="s">
        <v>95</v>
      </c>
      <c r="C67" s="3"/>
      <c r="D67" s="3"/>
      <c r="E67" s="3"/>
      <c r="F67" s="62">
        <v>-4533</v>
      </c>
      <c r="G67" s="62">
        <v>-4870</v>
      </c>
      <c r="H67" s="63">
        <v>-5115</v>
      </c>
      <c r="I67" s="155">
        <f t="shared" si="70"/>
        <v>-4839.333333333333</v>
      </c>
      <c r="J67" s="155">
        <f t="shared" si="69"/>
        <v>-4941.4444444444443</v>
      </c>
      <c r="K67" s="155">
        <f t="shared" si="69"/>
        <v>-4965.2592592592591</v>
      </c>
      <c r="L67" s="155">
        <f t="shared" si="69"/>
        <v>-4915.3456790123455</v>
      </c>
      <c r="M67" s="156">
        <f t="shared" si="69"/>
        <v>-4940.6831275720169</v>
      </c>
      <c r="N67" s="1"/>
      <c r="O67" s="174"/>
      <c r="P67" s="174"/>
      <c r="Q67" s="174"/>
      <c r="R67" s="174"/>
      <c r="S67" s="174"/>
      <c r="T67" s="174"/>
      <c r="U67" s="174"/>
      <c r="V67" s="174"/>
      <c r="W67" s="174"/>
      <c r="X67" s="174"/>
      <c r="Y67" s="174"/>
      <c r="Z67" s="174"/>
    </row>
    <row r="68" spans="1:26" customFormat="1" x14ac:dyDescent="0.25">
      <c r="A68" s="3"/>
      <c r="B68" s="111" t="s">
        <v>96</v>
      </c>
      <c r="C68" s="3"/>
      <c r="D68" s="3"/>
      <c r="E68" s="3"/>
      <c r="F68" s="3">
        <v>260</v>
      </c>
      <c r="G68" s="3">
        <v>328</v>
      </c>
      <c r="H68" s="20">
        <v>285</v>
      </c>
      <c r="I68" s="155">
        <f t="shared" si="70"/>
        <v>291</v>
      </c>
      <c r="J68" s="155">
        <f t="shared" si="69"/>
        <v>301.33333333333331</v>
      </c>
      <c r="K68" s="155">
        <f t="shared" si="69"/>
        <v>292.4444444444444</v>
      </c>
      <c r="L68" s="155">
        <f t="shared" si="69"/>
        <v>294.92592592592587</v>
      </c>
      <c r="M68" s="156">
        <f t="shared" si="69"/>
        <v>296.23456790123453</v>
      </c>
      <c r="N68" s="1"/>
      <c r="O68" s="174"/>
      <c r="P68" s="174"/>
      <c r="Q68" s="174"/>
      <c r="R68" s="174"/>
      <c r="S68" s="174"/>
      <c r="T68" s="174"/>
      <c r="U68" s="174"/>
      <c r="V68" s="174"/>
      <c r="W68" s="174"/>
      <c r="X68" s="174"/>
      <c r="Y68" s="174"/>
      <c r="Z68" s="174"/>
    </row>
    <row r="69" spans="1:26" customFormat="1" x14ac:dyDescent="0.25">
      <c r="A69" s="3"/>
      <c r="B69" s="111" t="s">
        <v>35</v>
      </c>
      <c r="C69" s="3"/>
      <c r="D69" s="3"/>
      <c r="E69" s="3"/>
      <c r="F69" s="3">
        <v>-40</v>
      </c>
      <c r="G69" s="3">
        <v>-56</v>
      </c>
      <c r="H69" s="20">
        <v>-167</v>
      </c>
      <c r="I69" s="155">
        <f t="shared" si="70"/>
        <v>-87.666666666666671</v>
      </c>
      <c r="J69" s="155">
        <f t="shared" si="69"/>
        <v>-103.55555555555556</v>
      </c>
      <c r="K69" s="155">
        <f t="shared" si="69"/>
        <v>-119.4074074074074</v>
      </c>
      <c r="L69" s="155">
        <f t="shared" si="69"/>
        <v>-103.5432098765432</v>
      </c>
      <c r="M69" s="156">
        <f t="shared" si="69"/>
        <v>-108.83539094650206</v>
      </c>
      <c r="N69" s="1"/>
      <c r="O69" s="174"/>
      <c r="P69" s="174"/>
      <c r="Q69" s="174"/>
      <c r="R69" s="174"/>
      <c r="S69" s="174"/>
      <c r="T69" s="174"/>
      <c r="U69" s="174"/>
      <c r="V69" s="174"/>
      <c r="W69" s="174"/>
      <c r="X69" s="174"/>
      <c r="Y69" s="174"/>
      <c r="Z69" s="174"/>
    </row>
    <row r="70" spans="1:26" customFormat="1" ht="15.75" thickBot="1" x14ac:dyDescent="0.3">
      <c r="A70" s="3"/>
      <c r="B70" s="158" t="s">
        <v>97</v>
      </c>
      <c r="C70" s="163"/>
      <c r="D70" s="163"/>
      <c r="E70" s="163"/>
      <c r="F70" s="75">
        <f>SUM(F63:F69)</f>
        <v>-4374</v>
      </c>
      <c r="G70" s="75">
        <f t="shared" ref="G70:H70" si="71">SUM(G63:G69)</f>
        <v>-7493</v>
      </c>
      <c r="H70" s="84">
        <f t="shared" si="71"/>
        <v>-7125</v>
      </c>
      <c r="I70" s="75">
        <f t="shared" ref="I70" si="72">SUM(I63:I69)</f>
        <v>-6462.333333333333</v>
      </c>
      <c r="J70" s="75">
        <f t="shared" ref="J70" si="73">SUM(J63:J69)</f>
        <v>-7104.1111111111113</v>
      </c>
      <c r="K70" s="75">
        <f t="shared" ref="K70" si="74">SUM(K63:K69)</f>
        <v>-6882.4814814814827</v>
      </c>
      <c r="L70" s="75">
        <f t="shared" ref="L70" si="75">SUM(L63:L69)</f>
        <v>-6816.308641975309</v>
      </c>
      <c r="M70" s="154">
        <f t="shared" ref="M70" si="76">SUM(M63:M69)</f>
        <v>-6934.3004115226358</v>
      </c>
      <c r="N70" s="1"/>
      <c r="O70" s="174"/>
      <c r="P70" s="174"/>
      <c r="Q70" s="174"/>
      <c r="R70" s="174"/>
      <c r="S70" s="174"/>
      <c r="T70" s="174"/>
      <c r="U70" s="174"/>
      <c r="V70" s="174"/>
      <c r="W70" s="174"/>
      <c r="X70" s="174"/>
      <c r="Y70" s="174"/>
      <c r="Z70" s="174"/>
    </row>
    <row r="71" spans="1:26" customFormat="1" ht="15.75" thickTop="1" x14ac:dyDescent="0.25">
      <c r="A71" s="3"/>
      <c r="B71" s="111" t="s">
        <v>98</v>
      </c>
      <c r="C71" s="3"/>
      <c r="D71" s="3"/>
      <c r="E71" s="3"/>
      <c r="F71" s="3">
        <v>-58</v>
      </c>
      <c r="G71" s="3">
        <v>-101</v>
      </c>
      <c r="H71" s="20">
        <v>86</v>
      </c>
      <c r="I71" s="125">
        <f>AVERAGE(F71:H71)</f>
        <v>-24.333333333333332</v>
      </c>
      <c r="J71" s="125">
        <f t="shared" ref="J71:M71" si="77">AVERAGE(G71:I71)</f>
        <v>-13.111111111111109</v>
      </c>
      <c r="K71" s="125">
        <f t="shared" si="77"/>
        <v>16.185185185185187</v>
      </c>
      <c r="L71" s="125">
        <f t="shared" si="77"/>
        <v>-7.0864197530864184</v>
      </c>
      <c r="M71" s="157">
        <f t="shared" si="77"/>
        <v>-1.3374485596707801</v>
      </c>
      <c r="N71" s="1"/>
      <c r="O71" s="174"/>
      <c r="P71" s="174"/>
      <c r="Q71" s="174"/>
      <c r="R71" s="174"/>
      <c r="S71" s="174"/>
      <c r="T71" s="174"/>
      <c r="U71" s="174"/>
      <c r="V71" s="174"/>
      <c r="W71" s="174"/>
      <c r="X71" s="174"/>
      <c r="Y71" s="174"/>
      <c r="Z71" s="174"/>
    </row>
    <row r="72" spans="1:26" customFormat="1" x14ac:dyDescent="0.25">
      <c r="A72" s="3"/>
      <c r="B72" s="111" t="s">
        <v>99</v>
      </c>
      <c r="C72" s="3"/>
      <c r="D72" s="3"/>
      <c r="E72" s="3"/>
      <c r="F72" s="62">
        <v>1996</v>
      </c>
      <c r="G72" s="62">
        <v>-3494</v>
      </c>
      <c r="H72" s="20">
        <v>-311</v>
      </c>
      <c r="I72" s="125">
        <f t="shared" ref="I72:I74" si="78">AVERAGE(F72:H72)</f>
        <v>-603</v>
      </c>
      <c r="J72" s="125">
        <f t="shared" ref="J72:J74" si="79">AVERAGE(G72:I72)</f>
        <v>-1469.3333333333333</v>
      </c>
      <c r="K72" s="125">
        <f t="shared" ref="K72:K74" si="80">AVERAGE(H72:J72)</f>
        <v>-794.44444444444434</v>
      </c>
      <c r="L72" s="125">
        <f t="shared" ref="L72:L74" si="81">AVERAGE(I72:K72)</f>
        <v>-955.5925925925925</v>
      </c>
      <c r="M72" s="157">
        <f t="shared" ref="M72:M74" si="82">AVERAGE(J72:L72)</f>
        <v>-1073.1234567901233</v>
      </c>
      <c r="N72" s="1"/>
      <c r="O72" s="174"/>
      <c r="P72" s="174"/>
      <c r="Q72" s="174"/>
      <c r="R72" s="174"/>
      <c r="S72" s="174"/>
      <c r="T72" s="174"/>
      <c r="U72" s="174"/>
      <c r="V72" s="174"/>
      <c r="W72" s="174"/>
      <c r="X72" s="174"/>
      <c r="Y72" s="174"/>
      <c r="Z72" s="174"/>
    </row>
    <row r="73" spans="1:26" customFormat="1" x14ac:dyDescent="0.25">
      <c r="A73" s="3"/>
      <c r="B73" s="111" t="s">
        <v>100</v>
      </c>
      <c r="C73" s="3"/>
      <c r="D73" s="3"/>
      <c r="E73" s="3"/>
      <c r="F73" s="62">
        <v>2584</v>
      </c>
      <c r="G73" s="62">
        <v>4579</v>
      </c>
      <c r="H73" s="63">
        <v>1085</v>
      </c>
      <c r="I73" s="125">
        <f t="shared" si="78"/>
        <v>2749.3333333333335</v>
      </c>
      <c r="J73" s="125">
        <f t="shared" si="79"/>
        <v>2804.4444444444448</v>
      </c>
      <c r="K73" s="125">
        <f t="shared" si="80"/>
        <v>2212.9259259259261</v>
      </c>
      <c r="L73" s="125">
        <f t="shared" si="81"/>
        <v>2588.9012345679016</v>
      </c>
      <c r="M73" s="157">
        <f t="shared" si="82"/>
        <v>2535.4238683127573</v>
      </c>
      <c r="N73" s="1"/>
      <c r="O73" s="174"/>
      <c r="P73" s="174"/>
      <c r="Q73" s="174"/>
      <c r="R73" s="174"/>
      <c r="S73" s="174"/>
      <c r="T73" s="174"/>
      <c r="U73" s="174"/>
      <c r="V73" s="174"/>
      <c r="W73" s="174"/>
      <c r="X73" s="174"/>
      <c r="Y73" s="174"/>
      <c r="Z73" s="174"/>
    </row>
    <row r="74" spans="1:26" customFormat="1" x14ac:dyDescent="0.25">
      <c r="A74" s="3"/>
      <c r="B74" s="111" t="s">
        <v>101</v>
      </c>
      <c r="C74" s="3"/>
      <c r="D74" s="3"/>
      <c r="E74" s="3"/>
      <c r="F74" s="62">
        <v>4579</v>
      </c>
      <c r="G74" s="62">
        <v>1085</v>
      </c>
      <c r="H74" s="63">
        <v>774</v>
      </c>
      <c r="I74" s="125">
        <f t="shared" si="78"/>
        <v>2146</v>
      </c>
      <c r="J74" s="125">
        <f t="shared" si="79"/>
        <v>1335</v>
      </c>
      <c r="K74" s="125">
        <f t="shared" si="80"/>
        <v>1418.3333333333333</v>
      </c>
      <c r="L74" s="125">
        <f t="shared" si="81"/>
        <v>1633.1111111111111</v>
      </c>
      <c r="M74" s="157">
        <f t="shared" si="82"/>
        <v>1462.148148148148</v>
      </c>
      <c r="N74" s="1"/>
      <c r="O74" s="174"/>
      <c r="P74" s="174"/>
      <c r="Q74" s="174"/>
      <c r="R74" s="174"/>
      <c r="S74" s="174"/>
      <c r="T74" s="174"/>
      <c r="U74" s="174"/>
      <c r="V74" s="174"/>
      <c r="W74" s="174"/>
      <c r="X74" s="174"/>
      <c r="Y74" s="174"/>
      <c r="Z74" s="174"/>
    </row>
    <row r="75" spans="1:26" customFormat="1" x14ac:dyDescent="0.25">
      <c r="A75" s="3"/>
      <c r="B75" s="114" t="s">
        <v>102</v>
      </c>
      <c r="C75" s="3"/>
      <c r="D75" s="3"/>
      <c r="E75" s="3"/>
      <c r="F75" s="3"/>
      <c r="G75" s="3"/>
      <c r="H75" s="20"/>
      <c r="I75" s="125"/>
      <c r="J75" s="125"/>
      <c r="K75" s="125"/>
      <c r="L75" s="125"/>
      <c r="M75" s="157"/>
      <c r="N75" s="1"/>
      <c r="O75" s="174"/>
      <c r="P75" s="174"/>
      <c r="Q75" s="174"/>
      <c r="R75" s="174"/>
      <c r="S75" s="174"/>
      <c r="T75" s="174"/>
      <c r="U75" s="174"/>
      <c r="V75" s="174"/>
      <c r="W75" s="174"/>
      <c r="X75" s="174"/>
      <c r="Y75" s="174"/>
      <c r="Z75" s="174"/>
    </row>
    <row r="76" spans="1:26" customFormat="1" x14ac:dyDescent="0.25">
      <c r="A76" s="3"/>
      <c r="B76" s="111" t="s">
        <v>103</v>
      </c>
      <c r="C76" s="3"/>
      <c r="D76" s="3"/>
      <c r="E76" s="3"/>
      <c r="F76" s="161">
        <v>1287</v>
      </c>
      <c r="G76" s="161">
        <v>1523</v>
      </c>
      <c r="H76" s="170">
        <v>1555</v>
      </c>
      <c r="I76" s="125">
        <f t="shared" ref="I76" si="83">AVERAGE(F76:H76)</f>
        <v>1455</v>
      </c>
      <c r="J76" s="125">
        <f t="shared" ref="J76" si="84">AVERAGE(G76:I76)</f>
        <v>1511</v>
      </c>
      <c r="K76" s="125">
        <f t="shared" ref="K76" si="85">AVERAGE(H76:J76)</f>
        <v>1507</v>
      </c>
      <c r="L76" s="125">
        <f t="shared" ref="L76" si="86">AVERAGE(I76:K76)</f>
        <v>1491</v>
      </c>
      <c r="M76" s="157">
        <f t="shared" ref="M76" si="87">AVERAGE(J76:L76)</f>
        <v>1503</v>
      </c>
      <c r="N76" s="1"/>
      <c r="O76" s="174"/>
      <c r="P76" s="174"/>
      <c r="Q76" s="174"/>
      <c r="R76" s="174"/>
      <c r="S76" s="174"/>
      <c r="T76" s="174"/>
      <c r="U76" s="174"/>
      <c r="V76" s="174"/>
      <c r="W76" s="174"/>
      <c r="X76" s="174"/>
      <c r="Y76" s="174"/>
      <c r="Z76" s="174"/>
    </row>
    <row r="77" spans="1:26" customFormat="1" x14ac:dyDescent="0.25">
      <c r="A77" s="3"/>
      <c r="B77" s="8"/>
      <c r="C77" s="9"/>
      <c r="D77" s="9"/>
      <c r="E77" s="9"/>
      <c r="F77" s="267"/>
      <c r="G77" s="267"/>
      <c r="H77" s="171"/>
      <c r="I77" s="267"/>
      <c r="J77" s="267"/>
      <c r="K77" s="267"/>
      <c r="L77" s="267"/>
      <c r="M77" s="268"/>
      <c r="N77" s="1"/>
      <c r="O77" s="174"/>
      <c r="P77" s="174"/>
      <c r="Q77" s="174"/>
      <c r="R77" s="174"/>
      <c r="S77" s="174"/>
      <c r="T77" s="174"/>
      <c r="U77" s="174"/>
      <c r="V77" s="174"/>
      <c r="W77" s="174"/>
      <c r="X77" s="174"/>
      <c r="Y77" s="174"/>
      <c r="Z77" s="174"/>
    </row>
    <row r="78" spans="1:26" customFormat="1" x14ac:dyDescent="0.25">
      <c r="A78" s="3"/>
      <c r="B78" s="3"/>
      <c r="C78" s="7"/>
      <c r="D78" s="7"/>
      <c r="E78" s="7"/>
      <c r="F78" s="165"/>
      <c r="G78" s="165"/>
      <c r="H78" s="165"/>
      <c r="I78" s="165"/>
      <c r="J78" s="165"/>
      <c r="K78" s="165"/>
      <c r="L78" s="165"/>
      <c r="M78" s="165"/>
      <c r="N78" s="1"/>
      <c r="O78" s="174"/>
      <c r="P78" s="174"/>
      <c r="Q78" s="174"/>
      <c r="R78" s="174"/>
      <c r="S78" s="174"/>
      <c r="T78" s="174"/>
      <c r="U78" s="174"/>
      <c r="V78" s="174"/>
      <c r="W78" s="174"/>
      <c r="X78" s="174"/>
      <c r="Y78" s="174"/>
      <c r="Z78" s="174"/>
    </row>
    <row r="79" spans="1:26" customFormat="1" x14ac:dyDescent="0.25">
      <c r="A79" s="3"/>
      <c r="B79" s="115" t="s">
        <v>153</v>
      </c>
      <c r="C79" s="17"/>
      <c r="D79" s="17"/>
      <c r="E79" s="17"/>
      <c r="F79" s="17"/>
      <c r="G79" s="17"/>
      <c r="H79" s="17"/>
      <c r="I79" s="90" t="s">
        <v>58</v>
      </c>
      <c r="J79" s="91"/>
      <c r="K79" s="91"/>
      <c r="L79" s="91"/>
      <c r="M79" s="92"/>
      <c r="N79" s="1"/>
      <c r="O79" s="174"/>
      <c r="P79" s="174"/>
      <c r="Q79" s="174"/>
      <c r="R79" s="174"/>
      <c r="S79" s="174"/>
      <c r="T79" s="174"/>
      <c r="U79" s="174"/>
      <c r="V79" s="174"/>
      <c r="W79" s="174"/>
      <c r="X79" s="174"/>
      <c r="Y79" s="174"/>
      <c r="Z79" s="174"/>
    </row>
    <row r="80" spans="1:26" customFormat="1" x14ac:dyDescent="0.25">
      <c r="A80" s="3"/>
      <c r="B80" s="119" t="s">
        <v>2</v>
      </c>
      <c r="C80" s="116"/>
      <c r="D80" s="22"/>
      <c r="E80" s="181"/>
      <c r="F80" s="117" t="s">
        <v>3</v>
      </c>
      <c r="G80" s="86">
        <f>H80-1</f>
        <v>2024</v>
      </c>
      <c r="H80" s="87">
        <v>2025</v>
      </c>
      <c r="I80" s="88">
        <f>H80+1</f>
        <v>2026</v>
      </c>
      <c r="J80" s="88">
        <f>I80+1</f>
        <v>2027</v>
      </c>
      <c r="K80" s="88">
        <f>J80+1</f>
        <v>2028</v>
      </c>
      <c r="L80" s="88">
        <f>K80+1</f>
        <v>2029</v>
      </c>
      <c r="M80" s="89">
        <f>L80+1</f>
        <v>2030</v>
      </c>
      <c r="N80" s="1"/>
      <c r="O80" s="174"/>
      <c r="P80" s="174"/>
      <c r="Q80" s="174"/>
      <c r="R80" s="174"/>
      <c r="S80" s="174"/>
      <c r="T80" s="174"/>
      <c r="U80" s="174"/>
      <c r="V80" s="174"/>
      <c r="W80" s="174"/>
      <c r="X80" s="174"/>
      <c r="Y80" s="174"/>
      <c r="Z80" s="174"/>
    </row>
    <row r="81" spans="1:26" customFormat="1" x14ac:dyDescent="0.25">
      <c r="A81" s="3"/>
      <c r="B81" s="264"/>
      <c r="C81" s="21"/>
      <c r="D81" s="21"/>
      <c r="E81" s="180"/>
      <c r="F81" s="78" t="s">
        <v>4</v>
      </c>
      <c r="G81" s="24"/>
      <c r="H81" s="151"/>
      <c r="I81" s="152"/>
      <c r="J81" s="152"/>
      <c r="K81" s="152"/>
      <c r="L81" s="152"/>
      <c r="M81" s="153"/>
      <c r="N81" s="1"/>
      <c r="O81" s="174"/>
      <c r="P81" s="174"/>
      <c r="Q81" s="174"/>
      <c r="R81" s="174"/>
      <c r="S81" s="174"/>
      <c r="T81" s="174"/>
      <c r="U81" s="174"/>
      <c r="V81" s="174"/>
      <c r="W81" s="174"/>
      <c r="X81" s="174"/>
      <c r="Y81" s="174"/>
      <c r="Z81" s="174"/>
    </row>
    <row r="82" spans="1:26" customFormat="1" x14ac:dyDescent="0.25">
      <c r="A82" s="3"/>
      <c r="B82" s="114" t="s">
        <v>116</v>
      </c>
      <c r="C82" s="3"/>
      <c r="D82" s="3"/>
      <c r="E82" s="3"/>
      <c r="F82" s="125"/>
      <c r="G82" s="3"/>
      <c r="H82" s="20"/>
      <c r="I82" s="3"/>
      <c r="J82" s="125"/>
      <c r="K82" s="125"/>
      <c r="L82" s="125"/>
      <c r="M82" s="157"/>
      <c r="N82" s="1"/>
      <c r="O82" s="174"/>
      <c r="P82" s="174"/>
      <c r="Q82" s="174"/>
      <c r="R82" s="174"/>
      <c r="S82" s="174"/>
      <c r="T82" s="174"/>
      <c r="U82" s="174"/>
      <c r="V82" s="174"/>
      <c r="W82" s="174"/>
      <c r="X82" s="174"/>
      <c r="Y82" s="174"/>
      <c r="Z82" s="174"/>
    </row>
    <row r="83" spans="1:26" customFormat="1" x14ac:dyDescent="0.25">
      <c r="A83" s="3"/>
      <c r="B83" s="111" t="s">
        <v>117</v>
      </c>
      <c r="C83" s="3"/>
      <c r="D83" s="3"/>
      <c r="E83" s="3"/>
      <c r="F83" s="125"/>
      <c r="G83" s="3">
        <v>1085</v>
      </c>
      <c r="H83" s="20">
        <v>774</v>
      </c>
      <c r="I83" s="3">
        <f>AVERAGE(G83:H83)</f>
        <v>929.5</v>
      </c>
      <c r="J83" s="3">
        <f t="shared" ref="J83:M83" si="88">AVERAGE(H83:I83)</f>
        <v>851.75</v>
      </c>
      <c r="K83" s="3">
        <f t="shared" si="88"/>
        <v>890.625</v>
      </c>
      <c r="L83" s="3">
        <f t="shared" si="88"/>
        <v>871.1875</v>
      </c>
      <c r="M83" s="19">
        <f t="shared" si="88"/>
        <v>880.90625</v>
      </c>
      <c r="N83" s="1"/>
      <c r="O83" s="174"/>
      <c r="P83" s="174"/>
      <c r="Q83" s="174"/>
      <c r="R83" s="174"/>
      <c r="S83" s="174"/>
      <c r="T83" s="174"/>
      <c r="U83" s="174"/>
      <c r="V83" s="174"/>
      <c r="W83" s="174"/>
      <c r="X83" s="174"/>
      <c r="Y83" s="174"/>
      <c r="Z83" s="174"/>
    </row>
    <row r="84" spans="1:26" customFormat="1" x14ac:dyDescent="0.25">
      <c r="A84" s="3"/>
      <c r="B84" s="111" t="s">
        <v>118</v>
      </c>
      <c r="C84" s="3"/>
      <c r="D84" s="3"/>
      <c r="E84" s="3"/>
      <c r="F84" s="125"/>
      <c r="G84" s="3">
        <v>2383</v>
      </c>
      <c r="H84" s="20">
        <v>2466</v>
      </c>
      <c r="I84" s="3">
        <f t="shared" ref="I84:I119" si="89">AVERAGE(G84:H84)</f>
        <v>2424.5</v>
      </c>
      <c r="J84" s="3">
        <f t="shared" ref="J84:J86" si="90">AVERAGE(H84:I84)</f>
        <v>2445.25</v>
      </c>
      <c r="K84" s="3">
        <f t="shared" ref="K84:K86" si="91">AVERAGE(I84:J84)</f>
        <v>2434.875</v>
      </c>
      <c r="L84" s="3">
        <f t="shared" ref="L84:L86" si="92">AVERAGE(J84:K84)</f>
        <v>2440.0625</v>
      </c>
      <c r="M84" s="19">
        <f t="shared" ref="M84:M86" si="93">AVERAGE(K84:L84)</f>
        <v>2437.46875</v>
      </c>
      <c r="N84" s="1"/>
      <c r="O84" s="174"/>
      <c r="P84" s="174"/>
      <c r="Q84" s="174"/>
      <c r="R84" s="174"/>
      <c r="S84" s="174"/>
      <c r="T84" s="174"/>
      <c r="U84" s="174"/>
      <c r="V84" s="174"/>
      <c r="W84" s="174"/>
      <c r="X84" s="174"/>
      <c r="Y84" s="174"/>
      <c r="Z84" s="174"/>
    </row>
    <row r="85" spans="1:26" customFormat="1" x14ac:dyDescent="0.25">
      <c r="A85" s="3"/>
      <c r="B85" s="111" t="s">
        <v>119</v>
      </c>
      <c r="C85" s="3"/>
      <c r="D85" s="3"/>
      <c r="E85" s="3"/>
      <c r="F85" s="125"/>
      <c r="G85" s="3">
        <v>56</v>
      </c>
      <c r="H85" s="20">
        <v>61</v>
      </c>
      <c r="I85" s="3">
        <f t="shared" si="89"/>
        <v>58.5</v>
      </c>
      <c r="J85" s="3">
        <f t="shared" si="90"/>
        <v>59.75</v>
      </c>
      <c r="K85" s="3">
        <f t="shared" si="91"/>
        <v>59.125</v>
      </c>
      <c r="L85" s="3">
        <f t="shared" si="92"/>
        <v>59.4375</v>
      </c>
      <c r="M85" s="19">
        <f t="shared" si="93"/>
        <v>59.28125</v>
      </c>
      <c r="N85" s="1"/>
      <c r="O85" s="174"/>
      <c r="P85" s="174"/>
      <c r="Q85" s="174"/>
      <c r="R85" s="174"/>
      <c r="S85" s="174"/>
      <c r="T85" s="174"/>
      <c r="U85" s="174"/>
      <c r="V85" s="174"/>
      <c r="W85" s="174"/>
      <c r="X85" s="174"/>
      <c r="Y85" s="174"/>
      <c r="Z85" s="174"/>
    </row>
    <row r="86" spans="1:26" customFormat="1" x14ac:dyDescent="0.25">
      <c r="A86" s="3"/>
      <c r="B86" s="111" t="s">
        <v>120</v>
      </c>
      <c r="C86" s="3"/>
      <c r="D86" s="3"/>
      <c r="E86" s="3"/>
      <c r="F86" s="125"/>
      <c r="G86" s="3">
        <v>1074</v>
      </c>
      <c r="H86" s="20">
        <v>863</v>
      </c>
      <c r="I86" s="9">
        <f t="shared" si="89"/>
        <v>968.5</v>
      </c>
      <c r="J86" s="9">
        <f t="shared" si="90"/>
        <v>915.75</v>
      </c>
      <c r="K86" s="9">
        <f t="shared" si="91"/>
        <v>942.125</v>
      </c>
      <c r="L86" s="9">
        <f t="shared" si="92"/>
        <v>928.9375</v>
      </c>
      <c r="M86" s="10">
        <f t="shared" si="93"/>
        <v>935.53125</v>
      </c>
      <c r="N86" s="1"/>
      <c r="O86" s="174"/>
      <c r="P86" s="174"/>
      <c r="Q86" s="174"/>
      <c r="R86" s="174"/>
      <c r="S86" s="174"/>
      <c r="T86" s="174"/>
      <c r="U86" s="174"/>
      <c r="V86" s="174"/>
      <c r="W86" s="174"/>
      <c r="X86" s="174"/>
      <c r="Y86" s="174"/>
      <c r="Z86" s="174"/>
    </row>
    <row r="87" spans="1:26" customFormat="1" x14ac:dyDescent="0.25">
      <c r="A87" s="3"/>
      <c r="B87" s="6" t="s">
        <v>121</v>
      </c>
      <c r="C87" s="167"/>
      <c r="D87" s="167"/>
      <c r="E87" s="167"/>
      <c r="F87" s="167"/>
      <c r="G87" s="167">
        <f>SUM(G83:G86)</f>
        <v>4598</v>
      </c>
      <c r="H87" s="172">
        <f>SUM(H83:H86)</f>
        <v>4164</v>
      </c>
      <c r="I87" s="11">
        <f t="shared" ref="I87:M87" si="94">SUM(I83:I86)</f>
        <v>4381</v>
      </c>
      <c r="J87" s="11">
        <f t="shared" si="94"/>
        <v>4272.5</v>
      </c>
      <c r="K87" s="11">
        <f t="shared" si="94"/>
        <v>4326.75</v>
      </c>
      <c r="L87" s="11">
        <f t="shared" si="94"/>
        <v>4299.625</v>
      </c>
      <c r="M87" s="166">
        <f t="shared" si="94"/>
        <v>4313.1875</v>
      </c>
      <c r="N87" s="1"/>
      <c r="O87" s="174"/>
      <c r="P87" s="174"/>
      <c r="Q87" s="174"/>
      <c r="R87" s="174"/>
      <c r="S87" s="174"/>
      <c r="T87" s="174"/>
      <c r="U87" s="174"/>
      <c r="V87" s="174"/>
      <c r="W87" s="174"/>
      <c r="X87" s="174"/>
      <c r="Y87" s="174"/>
      <c r="Z87" s="174"/>
    </row>
    <row r="88" spans="1:26" customFormat="1" x14ac:dyDescent="0.25">
      <c r="A88" s="3"/>
      <c r="B88" s="114" t="s">
        <v>122</v>
      </c>
      <c r="C88" s="3"/>
      <c r="D88" s="3"/>
      <c r="E88" s="3"/>
      <c r="F88" s="125"/>
      <c r="G88" s="3"/>
      <c r="H88" s="20"/>
      <c r="I88" s="3"/>
      <c r="J88" s="125"/>
      <c r="K88" s="125"/>
      <c r="L88" s="125"/>
      <c r="M88" s="157"/>
      <c r="N88" s="1"/>
      <c r="O88" s="174"/>
      <c r="P88" s="174"/>
      <c r="Q88" s="174"/>
      <c r="R88" s="174"/>
      <c r="S88" s="174"/>
      <c r="T88" s="174"/>
      <c r="U88" s="174"/>
      <c r="V88" s="174"/>
      <c r="W88" s="174"/>
      <c r="X88" s="174"/>
      <c r="Y88" s="174"/>
      <c r="Z88" s="174"/>
    </row>
    <row r="89" spans="1:26" customFormat="1" x14ac:dyDescent="0.25">
      <c r="A89" s="3"/>
      <c r="B89" s="111" t="s">
        <v>123</v>
      </c>
      <c r="C89" s="3"/>
      <c r="D89" s="3"/>
      <c r="E89" s="3"/>
      <c r="F89" s="125"/>
      <c r="G89" s="3">
        <v>2710</v>
      </c>
      <c r="H89" s="20">
        <v>2820</v>
      </c>
      <c r="I89" s="3">
        <f t="shared" si="89"/>
        <v>2765</v>
      </c>
      <c r="J89" s="3">
        <f t="shared" ref="J89:J91" si="95">AVERAGE(H89:I89)</f>
        <v>2792.5</v>
      </c>
      <c r="K89" s="3">
        <f t="shared" ref="K89:K91" si="96">AVERAGE(I89:J89)</f>
        <v>2778.75</v>
      </c>
      <c r="L89" s="3">
        <f t="shared" ref="L89:L91" si="97">AVERAGE(J89:K89)</f>
        <v>2785.625</v>
      </c>
      <c r="M89" s="19">
        <f t="shared" ref="M89:M91" si="98">AVERAGE(K89:L89)</f>
        <v>2782.1875</v>
      </c>
      <c r="N89" s="1"/>
      <c r="O89" s="174"/>
      <c r="P89" s="174"/>
      <c r="Q89" s="174"/>
      <c r="R89" s="174"/>
      <c r="S89" s="174"/>
      <c r="T89" s="174"/>
      <c r="U89" s="174"/>
      <c r="V89" s="174"/>
      <c r="W89" s="174"/>
      <c r="X89" s="174"/>
      <c r="Y89" s="174"/>
      <c r="Z89" s="174"/>
    </row>
    <row r="90" spans="1:26" customFormat="1" x14ac:dyDescent="0.25">
      <c r="A90" s="3"/>
      <c r="B90" s="111" t="s">
        <v>124</v>
      </c>
      <c r="C90" s="3"/>
      <c r="D90" s="3"/>
      <c r="E90" s="3"/>
      <c r="F90" s="125"/>
      <c r="G90" s="3">
        <v>3145</v>
      </c>
      <c r="H90" s="20">
        <v>3354</v>
      </c>
      <c r="I90" s="3">
        <f t="shared" si="89"/>
        <v>3249.5</v>
      </c>
      <c r="J90" s="3">
        <f t="shared" si="95"/>
        <v>3301.75</v>
      </c>
      <c r="K90" s="3">
        <f t="shared" si="96"/>
        <v>3275.625</v>
      </c>
      <c r="L90" s="3">
        <f t="shared" si="97"/>
        <v>3288.6875</v>
      </c>
      <c r="M90" s="19">
        <f t="shared" si="98"/>
        <v>3282.15625</v>
      </c>
      <c r="N90" s="1"/>
      <c r="O90" s="174"/>
      <c r="P90" s="174"/>
      <c r="Q90" s="174"/>
      <c r="R90" s="174"/>
      <c r="S90" s="174"/>
      <c r="T90" s="174"/>
      <c r="U90" s="174"/>
      <c r="V90" s="174"/>
      <c r="W90" s="174"/>
      <c r="X90" s="174"/>
      <c r="Y90" s="174"/>
      <c r="Z90" s="174"/>
    </row>
    <row r="91" spans="1:26" customFormat="1" x14ac:dyDescent="0.25">
      <c r="A91" s="3"/>
      <c r="B91" s="111" t="s">
        <v>125</v>
      </c>
      <c r="C91" s="3"/>
      <c r="D91" s="3"/>
      <c r="E91" s="3"/>
      <c r="F91" s="125"/>
      <c r="G91" s="3">
        <v>6095</v>
      </c>
      <c r="H91" s="20">
        <v>6331</v>
      </c>
      <c r="I91" s="3">
        <f t="shared" si="89"/>
        <v>6213</v>
      </c>
      <c r="J91" s="3">
        <f t="shared" si="95"/>
        <v>6272</v>
      </c>
      <c r="K91" s="3">
        <f t="shared" si="96"/>
        <v>6242.5</v>
      </c>
      <c r="L91" s="3">
        <f t="shared" si="97"/>
        <v>6257.25</v>
      </c>
      <c r="M91" s="19">
        <f t="shared" si="98"/>
        <v>6249.875</v>
      </c>
      <c r="N91" s="1"/>
      <c r="O91" s="174"/>
      <c r="P91" s="174"/>
      <c r="Q91" s="174"/>
      <c r="R91" s="174"/>
      <c r="S91" s="174"/>
      <c r="T91" s="174"/>
      <c r="U91" s="174"/>
      <c r="V91" s="174"/>
      <c r="W91" s="174"/>
      <c r="X91" s="174"/>
      <c r="Y91" s="174"/>
      <c r="Z91" s="174"/>
    </row>
    <row r="92" spans="1:26" customFormat="1" x14ac:dyDescent="0.25">
      <c r="A92" s="3"/>
      <c r="B92" s="6" t="s">
        <v>126</v>
      </c>
      <c r="C92" s="167"/>
      <c r="D92" s="167"/>
      <c r="E92" s="167"/>
      <c r="F92" s="167"/>
      <c r="G92" s="167">
        <f>SUM(G89:G91)</f>
        <v>11950</v>
      </c>
      <c r="H92" s="172">
        <f>SUM(H89:H91)</f>
        <v>12505</v>
      </c>
      <c r="I92" s="167">
        <f t="shared" ref="I92:M92" si="99">SUM(I89:I91)</f>
        <v>12227.5</v>
      </c>
      <c r="J92" s="167">
        <f t="shared" si="99"/>
        <v>12366.25</v>
      </c>
      <c r="K92" s="167">
        <f t="shared" si="99"/>
        <v>12296.875</v>
      </c>
      <c r="L92" s="167">
        <f t="shared" si="99"/>
        <v>12331.5625</v>
      </c>
      <c r="M92" s="168">
        <f t="shared" si="99"/>
        <v>12314.21875</v>
      </c>
      <c r="N92" s="1"/>
      <c r="O92" s="174"/>
      <c r="P92" s="174"/>
      <c r="Q92" s="174"/>
      <c r="R92" s="174"/>
      <c r="S92" s="174"/>
      <c r="T92" s="174"/>
      <c r="U92" s="174"/>
      <c r="V92" s="174"/>
      <c r="W92" s="174"/>
      <c r="X92" s="174"/>
      <c r="Y92" s="174"/>
      <c r="Z92" s="174"/>
    </row>
    <row r="93" spans="1:26" customFormat="1" x14ac:dyDescent="0.25">
      <c r="A93" s="3"/>
      <c r="B93" s="111" t="s">
        <v>127</v>
      </c>
      <c r="C93" s="3"/>
      <c r="D93" s="3"/>
      <c r="E93" s="3"/>
      <c r="F93" s="125"/>
      <c r="G93" s="3">
        <v>13339</v>
      </c>
      <c r="H93" s="20">
        <v>14606</v>
      </c>
      <c r="I93" s="3">
        <f t="shared" si="89"/>
        <v>13972.5</v>
      </c>
      <c r="J93" s="3">
        <f t="shared" ref="J93" si="100">AVERAGE(H93:I93)</f>
        <v>14289.25</v>
      </c>
      <c r="K93" s="3">
        <f t="shared" ref="K93" si="101">AVERAGE(I93:J93)</f>
        <v>14130.875</v>
      </c>
      <c r="L93" s="3">
        <f t="shared" ref="L93" si="102">AVERAGE(J93:K93)</f>
        <v>14210.0625</v>
      </c>
      <c r="M93" s="19">
        <f t="shared" ref="M93" si="103">AVERAGE(K93:L93)</f>
        <v>14170.46875</v>
      </c>
      <c r="N93" s="1"/>
      <c r="O93" s="174"/>
      <c r="P93" s="174"/>
      <c r="Q93" s="174"/>
      <c r="R93" s="174"/>
      <c r="S93" s="174"/>
      <c r="T93" s="174"/>
      <c r="U93" s="174"/>
      <c r="V93" s="174"/>
      <c r="W93" s="174"/>
      <c r="X93" s="174"/>
      <c r="Y93" s="174"/>
      <c r="Z93" s="174"/>
    </row>
    <row r="94" spans="1:26" customFormat="1" x14ac:dyDescent="0.25">
      <c r="A94" s="3"/>
      <c r="B94" s="114" t="s">
        <v>128</v>
      </c>
      <c r="C94" s="3"/>
      <c r="D94" s="3"/>
      <c r="E94" s="3"/>
      <c r="F94" s="125"/>
      <c r="G94" s="3"/>
      <c r="H94" s="20"/>
      <c r="I94" s="3"/>
      <c r="J94" s="3"/>
      <c r="K94" s="3"/>
      <c r="L94" s="3"/>
      <c r="M94" s="19"/>
      <c r="N94" s="1"/>
      <c r="O94" s="174"/>
      <c r="P94" s="174"/>
      <c r="Q94" s="174"/>
      <c r="R94" s="174"/>
      <c r="S94" s="174"/>
      <c r="T94" s="174"/>
      <c r="U94" s="174"/>
      <c r="V94" s="174"/>
      <c r="W94" s="174"/>
      <c r="X94" s="174"/>
      <c r="Y94" s="174"/>
      <c r="Z94" s="174"/>
    </row>
    <row r="95" spans="1:26" customFormat="1" x14ac:dyDescent="0.25">
      <c r="A95" s="3"/>
      <c r="B95" s="111" t="s">
        <v>129</v>
      </c>
      <c r="C95" s="3"/>
      <c r="D95" s="3"/>
      <c r="E95" s="3"/>
      <c r="F95" s="125"/>
      <c r="G95" s="3">
        <v>44177</v>
      </c>
      <c r="H95" s="20">
        <v>49290</v>
      </c>
      <c r="I95" s="3">
        <f t="shared" si="89"/>
        <v>46733.5</v>
      </c>
      <c r="J95" s="3">
        <f t="shared" ref="J95:J97" si="104">AVERAGE(H95:I95)</f>
        <v>48011.75</v>
      </c>
      <c r="K95" s="3">
        <f t="shared" ref="K95:K97" si="105">AVERAGE(I95:J95)</f>
        <v>47372.625</v>
      </c>
      <c r="L95" s="3">
        <f t="shared" ref="L95:L97" si="106">AVERAGE(J95:K95)</f>
        <v>47692.1875</v>
      </c>
      <c r="M95" s="19">
        <f t="shared" ref="M95:M97" si="107">AVERAGE(K95:L95)</f>
        <v>47532.40625</v>
      </c>
      <c r="N95" s="1"/>
      <c r="O95" s="174"/>
      <c r="P95" s="174"/>
      <c r="Q95" s="174"/>
      <c r="R95" s="174"/>
      <c r="S95" s="174"/>
      <c r="T95" s="174"/>
      <c r="U95" s="174"/>
      <c r="V95" s="174"/>
      <c r="W95" s="174"/>
      <c r="X95" s="174"/>
      <c r="Y95" s="174"/>
      <c r="Z95" s="174"/>
    </row>
    <row r="96" spans="1:26" customFormat="1" x14ac:dyDescent="0.25">
      <c r="A96" s="3"/>
      <c r="B96" s="111" t="s">
        <v>130</v>
      </c>
      <c r="C96" s="3"/>
      <c r="D96" s="3"/>
      <c r="E96" s="3"/>
      <c r="F96" s="125"/>
      <c r="G96" s="3">
        <v>-18882</v>
      </c>
      <c r="H96" s="20">
        <v>-21049</v>
      </c>
      <c r="I96" s="3">
        <f t="shared" si="89"/>
        <v>-19965.5</v>
      </c>
      <c r="J96" s="3">
        <f t="shared" si="104"/>
        <v>-20507.25</v>
      </c>
      <c r="K96" s="3">
        <f t="shared" si="105"/>
        <v>-20236.375</v>
      </c>
      <c r="L96" s="3">
        <f t="shared" si="106"/>
        <v>-20371.8125</v>
      </c>
      <c r="M96" s="19">
        <f t="shared" si="107"/>
        <v>-20304.09375</v>
      </c>
      <c r="N96" s="1"/>
      <c r="O96" s="174"/>
      <c r="P96" s="174"/>
      <c r="Q96" s="174"/>
      <c r="R96" s="174"/>
      <c r="S96" s="174"/>
      <c r="T96" s="174"/>
      <c r="U96" s="174"/>
      <c r="V96" s="174"/>
      <c r="W96" s="174"/>
      <c r="X96" s="174"/>
      <c r="Y96" s="174"/>
      <c r="Z96" s="174"/>
    </row>
    <row r="97" spans="1:26" customFormat="1" x14ac:dyDescent="0.25">
      <c r="A97" s="3"/>
      <c r="B97" s="114" t="s">
        <v>131</v>
      </c>
      <c r="C97" s="3"/>
      <c r="D97" s="3"/>
      <c r="E97" s="3"/>
      <c r="F97" s="125"/>
      <c r="G97" s="3">
        <v>25295</v>
      </c>
      <c r="H97" s="20">
        <v>28241</v>
      </c>
      <c r="I97" s="3">
        <f t="shared" si="89"/>
        <v>26768</v>
      </c>
      <c r="J97" s="3">
        <f t="shared" si="104"/>
        <v>27504.5</v>
      </c>
      <c r="K97" s="3">
        <f t="shared" si="105"/>
        <v>27136.25</v>
      </c>
      <c r="L97" s="3">
        <f t="shared" si="106"/>
        <v>27320.375</v>
      </c>
      <c r="M97" s="19">
        <f t="shared" si="107"/>
        <v>27228.3125</v>
      </c>
      <c r="N97" s="1"/>
      <c r="O97" s="174"/>
      <c r="P97" s="174"/>
      <c r="Q97" s="174"/>
      <c r="R97" s="174"/>
      <c r="S97" s="174"/>
      <c r="T97" s="174"/>
      <c r="U97" s="174"/>
      <c r="V97" s="174"/>
      <c r="W97" s="174"/>
      <c r="X97" s="174"/>
      <c r="Y97" s="174"/>
      <c r="Z97" s="174"/>
    </row>
    <row r="98" spans="1:26" customFormat="1" ht="15.75" thickBot="1" x14ac:dyDescent="0.3">
      <c r="A98" s="3"/>
      <c r="B98" s="158" t="s">
        <v>132</v>
      </c>
      <c r="C98" s="76"/>
      <c r="D98" s="76"/>
      <c r="E98" s="76"/>
      <c r="F98" s="162"/>
      <c r="G98" s="163">
        <f>SUM(G87,G92,G93,G97)</f>
        <v>55182</v>
      </c>
      <c r="H98" s="173">
        <f>SUM(H87,H92,H93,H97)</f>
        <v>59516</v>
      </c>
      <c r="I98" s="163">
        <f t="shared" ref="I98:M98" si="108">SUM(I87,I92,I93,I97)</f>
        <v>57349</v>
      </c>
      <c r="J98" s="163">
        <f t="shared" si="108"/>
        <v>58432.5</v>
      </c>
      <c r="K98" s="163">
        <f t="shared" si="108"/>
        <v>57890.75</v>
      </c>
      <c r="L98" s="163">
        <f t="shared" si="108"/>
        <v>58161.625</v>
      </c>
      <c r="M98" s="164">
        <f t="shared" si="108"/>
        <v>58026.1875</v>
      </c>
      <c r="N98" s="1"/>
      <c r="O98" s="174"/>
      <c r="P98" s="174"/>
      <c r="Q98" s="174"/>
      <c r="R98" s="174"/>
      <c r="S98" s="174"/>
      <c r="T98" s="174"/>
      <c r="U98" s="174"/>
      <c r="V98" s="174"/>
      <c r="W98" s="174"/>
      <c r="X98" s="174"/>
      <c r="Y98" s="174"/>
      <c r="Z98" s="174"/>
    </row>
    <row r="99" spans="1:26" customFormat="1" ht="15.75" thickTop="1" x14ac:dyDescent="0.25">
      <c r="A99" s="3"/>
      <c r="B99" s="114" t="s">
        <v>133</v>
      </c>
      <c r="C99" s="3"/>
      <c r="D99" s="3"/>
      <c r="E99" s="3"/>
      <c r="F99" s="125"/>
      <c r="G99" s="3"/>
      <c r="H99" s="20"/>
      <c r="I99" s="3"/>
      <c r="J99" s="125"/>
      <c r="K99" s="125"/>
      <c r="L99" s="125"/>
      <c r="M99" s="157"/>
      <c r="N99" s="1"/>
      <c r="O99" s="174"/>
      <c r="P99" s="174"/>
      <c r="Q99" s="174"/>
      <c r="R99" s="174"/>
      <c r="S99" s="174"/>
      <c r="T99" s="174"/>
      <c r="U99" s="174"/>
      <c r="V99" s="174"/>
      <c r="W99" s="174"/>
      <c r="X99" s="174"/>
      <c r="Y99" s="174"/>
      <c r="Z99" s="174"/>
    </row>
    <row r="100" spans="1:26" customFormat="1" x14ac:dyDescent="0.25">
      <c r="A100" s="3"/>
      <c r="B100" s="111" t="s">
        <v>79</v>
      </c>
      <c r="C100" s="3"/>
      <c r="D100" s="3"/>
      <c r="E100" s="3"/>
      <c r="F100" s="125"/>
      <c r="G100" s="3">
        <v>1029</v>
      </c>
      <c r="H100" s="20">
        <v>1149</v>
      </c>
      <c r="I100" s="3">
        <f t="shared" si="89"/>
        <v>1089</v>
      </c>
      <c r="J100" s="3">
        <f t="shared" ref="J100:J105" si="109">AVERAGE(H100:I100)</f>
        <v>1119</v>
      </c>
      <c r="K100" s="3">
        <f t="shared" ref="K100:K105" si="110">AVERAGE(I100:J100)</f>
        <v>1104</v>
      </c>
      <c r="L100" s="3">
        <f t="shared" ref="L100:L105" si="111">AVERAGE(J100:K100)</f>
        <v>1111.5</v>
      </c>
      <c r="M100" s="19">
        <f t="shared" ref="M100:M105" si="112">AVERAGE(K100:L100)</f>
        <v>1107.75</v>
      </c>
      <c r="N100" s="1"/>
      <c r="O100" s="174"/>
      <c r="P100" s="174"/>
      <c r="Q100" s="174"/>
      <c r="R100" s="174"/>
      <c r="S100" s="174"/>
      <c r="T100" s="174"/>
      <c r="U100" s="174"/>
      <c r="V100" s="174"/>
      <c r="W100" s="174"/>
      <c r="X100" s="174"/>
      <c r="Y100" s="174"/>
      <c r="Z100" s="174"/>
    </row>
    <row r="101" spans="1:26" customFormat="1" x14ac:dyDescent="0.25">
      <c r="A101" s="3"/>
      <c r="B101" s="111" t="s">
        <v>134</v>
      </c>
      <c r="C101" s="3"/>
      <c r="D101" s="3"/>
      <c r="E101" s="3"/>
      <c r="F101" s="125"/>
      <c r="G101" s="3">
        <v>636</v>
      </c>
      <c r="H101" s="20">
        <v>694</v>
      </c>
      <c r="I101" s="3">
        <f t="shared" si="89"/>
        <v>665</v>
      </c>
      <c r="J101" s="3">
        <f t="shared" si="109"/>
        <v>679.5</v>
      </c>
      <c r="K101" s="3">
        <f t="shared" si="110"/>
        <v>672.25</v>
      </c>
      <c r="L101" s="3">
        <f t="shared" si="111"/>
        <v>675.875</v>
      </c>
      <c r="M101" s="19">
        <f t="shared" si="112"/>
        <v>674.0625</v>
      </c>
      <c r="N101" s="1"/>
      <c r="O101" s="174"/>
      <c r="P101" s="174"/>
      <c r="Q101" s="174"/>
      <c r="R101" s="174"/>
      <c r="S101" s="174"/>
      <c r="T101" s="174"/>
      <c r="U101" s="174"/>
      <c r="V101" s="174"/>
      <c r="W101" s="174"/>
      <c r="X101" s="174"/>
      <c r="Y101" s="174"/>
      <c r="Z101" s="174"/>
    </row>
    <row r="102" spans="1:26" customFormat="1" x14ac:dyDescent="0.25">
      <c r="A102" s="3"/>
      <c r="B102" s="111" t="s">
        <v>80</v>
      </c>
      <c r="C102" s="3"/>
      <c r="D102" s="3"/>
      <c r="E102" s="3"/>
      <c r="F102" s="3"/>
      <c r="G102" s="3">
        <v>361</v>
      </c>
      <c r="H102" s="20">
        <v>250</v>
      </c>
      <c r="I102" s="3">
        <f t="shared" si="89"/>
        <v>305.5</v>
      </c>
      <c r="J102" s="3">
        <f t="shared" si="109"/>
        <v>277.75</v>
      </c>
      <c r="K102" s="3">
        <f t="shared" si="110"/>
        <v>291.625</v>
      </c>
      <c r="L102" s="3">
        <f t="shared" si="111"/>
        <v>284.6875</v>
      </c>
      <c r="M102" s="19">
        <f t="shared" si="112"/>
        <v>288.15625</v>
      </c>
      <c r="N102" s="1"/>
      <c r="O102" s="174"/>
      <c r="P102" s="174"/>
      <c r="Q102" s="174"/>
      <c r="R102" s="174"/>
      <c r="S102" s="174"/>
      <c r="T102" s="174"/>
      <c r="U102" s="174"/>
      <c r="V102" s="174"/>
      <c r="W102" s="174"/>
      <c r="X102" s="174"/>
      <c r="Y102" s="174"/>
      <c r="Z102" s="174"/>
    </row>
    <row r="103" spans="1:26" customFormat="1" x14ac:dyDescent="0.25">
      <c r="A103" s="3"/>
      <c r="B103" s="111" t="s">
        <v>135</v>
      </c>
      <c r="C103" s="3"/>
      <c r="D103" s="3"/>
      <c r="E103" s="3"/>
      <c r="F103" s="3"/>
      <c r="G103" s="3">
        <v>224</v>
      </c>
      <c r="H103" s="20">
        <v>247</v>
      </c>
      <c r="I103" s="3">
        <f t="shared" si="89"/>
        <v>235.5</v>
      </c>
      <c r="J103" s="3">
        <f t="shared" si="109"/>
        <v>241.25</v>
      </c>
      <c r="K103" s="3">
        <f t="shared" si="110"/>
        <v>238.375</v>
      </c>
      <c r="L103" s="3">
        <f t="shared" si="111"/>
        <v>239.8125</v>
      </c>
      <c r="M103" s="19">
        <f t="shared" si="112"/>
        <v>239.09375</v>
      </c>
      <c r="N103" s="1"/>
      <c r="O103" s="174"/>
      <c r="P103" s="174"/>
      <c r="Q103" s="174"/>
      <c r="R103" s="174"/>
      <c r="S103" s="174"/>
      <c r="T103" s="174"/>
      <c r="U103" s="174"/>
      <c r="V103" s="174"/>
      <c r="W103" s="174"/>
      <c r="X103" s="174"/>
      <c r="Y103" s="174"/>
      <c r="Z103" s="174"/>
    </row>
    <row r="104" spans="1:26" customFormat="1" x14ac:dyDescent="0.25">
      <c r="A104" s="3"/>
      <c r="B104" s="111" t="s">
        <v>136</v>
      </c>
      <c r="C104" s="3"/>
      <c r="D104" s="3"/>
      <c r="E104" s="3"/>
      <c r="F104" s="3"/>
      <c r="G104" s="3">
        <v>482</v>
      </c>
      <c r="H104" s="20">
        <v>533</v>
      </c>
      <c r="I104" s="3">
        <f t="shared" si="89"/>
        <v>507.5</v>
      </c>
      <c r="J104" s="3">
        <f t="shared" si="109"/>
        <v>520.25</v>
      </c>
      <c r="K104" s="3">
        <f t="shared" si="110"/>
        <v>513.875</v>
      </c>
      <c r="L104" s="3">
        <f t="shared" si="111"/>
        <v>517.0625</v>
      </c>
      <c r="M104" s="19">
        <f t="shared" si="112"/>
        <v>515.46875</v>
      </c>
      <c r="N104" s="1"/>
      <c r="O104" s="174"/>
      <c r="P104" s="174"/>
      <c r="Q104" s="174"/>
      <c r="R104" s="174"/>
      <c r="S104" s="174"/>
      <c r="T104" s="174"/>
      <c r="U104" s="174"/>
      <c r="V104" s="174"/>
      <c r="W104" s="174"/>
      <c r="X104" s="174"/>
      <c r="Y104" s="174"/>
      <c r="Z104" s="174"/>
    </row>
    <row r="105" spans="1:26" customFormat="1" x14ac:dyDescent="0.25">
      <c r="A105" s="3"/>
      <c r="B105" s="111" t="s">
        <v>137</v>
      </c>
      <c r="C105" s="3"/>
      <c r="D105" s="3"/>
      <c r="E105" s="3"/>
      <c r="F105" s="3"/>
      <c r="G105" s="3">
        <v>1129</v>
      </c>
      <c r="H105" s="20">
        <v>1488</v>
      </c>
      <c r="I105" s="3">
        <f t="shared" si="89"/>
        <v>1308.5</v>
      </c>
      <c r="J105" s="3">
        <f t="shared" si="109"/>
        <v>1398.25</v>
      </c>
      <c r="K105" s="3">
        <f t="shared" si="110"/>
        <v>1353.375</v>
      </c>
      <c r="L105" s="3">
        <f t="shared" si="111"/>
        <v>1375.8125</v>
      </c>
      <c r="M105" s="19">
        <f t="shared" si="112"/>
        <v>1364.59375</v>
      </c>
      <c r="N105" s="1"/>
      <c r="O105" s="174"/>
      <c r="P105" s="174"/>
      <c r="Q105" s="174"/>
      <c r="R105" s="174"/>
      <c r="S105" s="174"/>
      <c r="T105" s="174"/>
      <c r="U105" s="174"/>
      <c r="V105" s="174"/>
      <c r="W105" s="174"/>
      <c r="X105" s="174"/>
      <c r="Y105" s="174"/>
      <c r="Z105" s="174"/>
    </row>
    <row r="106" spans="1:26" customFormat="1" x14ac:dyDescent="0.25">
      <c r="A106" s="3"/>
      <c r="B106" s="6" t="s">
        <v>138</v>
      </c>
      <c r="C106" s="7"/>
      <c r="D106" s="7"/>
      <c r="E106" s="7"/>
      <c r="F106" s="7"/>
      <c r="G106" s="167">
        <f>SUM(G100:G105)</f>
        <v>3861</v>
      </c>
      <c r="H106" s="172">
        <f>SUM(H100:H105)</f>
        <v>4361</v>
      </c>
      <c r="I106" s="167">
        <f t="shared" ref="I106:M106" si="113">SUM(I100:I105)</f>
        <v>4111</v>
      </c>
      <c r="J106" s="167">
        <f t="shared" si="113"/>
        <v>4236</v>
      </c>
      <c r="K106" s="167">
        <f t="shared" si="113"/>
        <v>4173.5</v>
      </c>
      <c r="L106" s="167">
        <f t="shared" si="113"/>
        <v>4204.75</v>
      </c>
      <c r="M106" s="168">
        <f t="shared" si="113"/>
        <v>4189.125</v>
      </c>
      <c r="N106" s="1"/>
      <c r="O106" s="174"/>
      <c r="P106" s="174"/>
      <c r="Q106" s="174"/>
      <c r="R106" s="174"/>
      <c r="S106" s="174"/>
      <c r="T106" s="174"/>
      <c r="U106" s="174"/>
      <c r="V106" s="174"/>
      <c r="W106" s="174"/>
      <c r="X106" s="174"/>
      <c r="Y106" s="174"/>
      <c r="Z106" s="174"/>
    </row>
    <row r="107" spans="1:26" customFormat="1" x14ac:dyDescent="0.25">
      <c r="A107" s="3"/>
      <c r="B107" s="111" t="s">
        <v>139</v>
      </c>
      <c r="C107" s="3"/>
      <c r="D107" s="3"/>
      <c r="E107" s="3"/>
      <c r="F107" s="3"/>
      <c r="G107" s="3">
        <v>38424</v>
      </c>
      <c r="H107" s="20">
        <v>39973</v>
      </c>
      <c r="I107" s="3">
        <f t="shared" si="89"/>
        <v>39198.5</v>
      </c>
      <c r="J107" s="3">
        <f t="shared" ref="J107:J112" si="114">AVERAGE(H107:I107)</f>
        <v>39585.75</v>
      </c>
      <c r="K107" s="3">
        <f t="shared" ref="K107:K112" si="115">AVERAGE(I107:J107)</f>
        <v>39392.125</v>
      </c>
      <c r="L107" s="3">
        <f t="shared" ref="L107:L112" si="116">AVERAGE(J107:K107)</f>
        <v>39488.9375</v>
      </c>
      <c r="M107" s="19">
        <f t="shared" ref="M107:M112" si="117">AVERAGE(K107:L107)</f>
        <v>39440.53125</v>
      </c>
      <c r="N107" s="1"/>
      <c r="O107" s="174"/>
      <c r="P107" s="174"/>
      <c r="Q107" s="174"/>
      <c r="R107" s="174"/>
      <c r="S107" s="174"/>
      <c r="T107" s="174"/>
      <c r="U107" s="174"/>
      <c r="V107" s="174"/>
      <c r="W107" s="174"/>
      <c r="X107" s="174"/>
      <c r="Y107" s="174"/>
      <c r="Z107" s="174"/>
    </row>
    <row r="108" spans="1:26" customFormat="1" x14ac:dyDescent="0.25">
      <c r="A108" s="3"/>
      <c r="B108" s="111" t="s">
        <v>140</v>
      </c>
      <c r="C108" s="3"/>
      <c r="D108" s="3"/>
      <c r="E108" s="3"/>
      <c r="F108" s="3"/>
      <c r="G108" s="3">
        <v>12888</v>
      </c>
      <c r="H108" s="20">
        <v>14147</v>
      </c>
      <c r="I108" s="3">
        <f t="shared" si="89"/>
        <v>13517.5</v>
      </c>
      <c r="J108" s="3">
        <f t="shared" si="114"/>
        <v>13832.25</v>
      </c>
      <c r="K108" s="3">
        <f t="shared" si="115"/>
        <v>13674.875</v>
      </c>
      <c r="L108" s="3">
        <f t="shared" si="116"/>
        <v>13753.5625</v>
      </c>
      <c r="M108" s="19">
        <f t="shared" si="117"/>
        <v>13714.21875</v>
      </c>
      <c r="N108" s="1"/>
      <c r="O108" s="174"/>
      <c r="P108" s="174"/>
      <c r="Q108" s="174"/>
      <c r="R108" s="174"/>
      <c r="S108" s="174"/>
      <c r="T108" s="174"/>
      <c r="U108" s="174"/>
      <c r="V108" s="174"/>
      <c r="W108" s="174"/>
      <c r="X108" s="174"/>
      <c r="Y108" s="174"/>
      <c r="Z108" s="174"/>
    </row>
    <row r="109" spans="1:26" customFormat="1" x14ac:dyDescent="0.25">
      <c r="A109" s="3"/>
      <c r="B109" s="111" t="s">
        <v>141</v>
      </c>
      <c r="C109" s="3"/>
      <c r="D109" s="3"/>
      <c r="E109" s="3"/>
      <c r="F109" s="3"/>
      <c r="G109" s="3">
        <v>344</v>
      </c>
      <c r="H109" s="20">
        <v>139</v>
      </c>
      <c r="I109" s="3">
        <f t="shared" si="89"/>
        <v>241.5</v>
      </c>
      <c r="J109" s="3">
        <f t="shared" si="114"/>
        <v>190.25</v>
      </c>
      <c r="K109" s="3">
        <f t="shared" si="115"/>
        <v>215.875</v>
      </c>
      <c r="L109" s="3">
        <f t="shared" si="116"/>
        <v>203.0625</v>
      </c>
      <c r="M109" s="19">
        <f t="shared" si="117"/>
        <v>209.46875</v>
      </c>
      <c r="N109" s="1"/>
      <c r="O109" s="174"/>
      <c r="P109" s="174"/>
      <c r="Q109" s="174"/>
      <c r="R109" s="174"/>
      <c r="S109" s="174"/>
      <c r="T109" s="174"/>
      <c r="U109" s="174"/>
      <c r="V109" s="174"/>
      <c r="W109" s="174"/>
      <c r="X109" s="174"/>
      <c r="Y109" s="174"/>
      <c r="Z109" s="174"/>
    </row>
    <row r="110" spans="1:26" customFormat="1" x14ac:dyDescent="0.25">
      <c r="A110" s="3"/>
      <c r="B110" s="111" t="s">
        <v>142</v>
      </c>
      <c r="C110" s="3"/>
      <c r="D110" s="3"/>
      <c r="E110" s="3"/>
      <c r="F110" s="3"/>
      <c r="G110" s="3">
        <v>778</v>
      </c>
      <c r="H110" s="20">
        <v>945</v>
      </c>
      <c r="I110" s="3">
        <f t="shared" si="89"/>
        <v>861.5</v>
      </c>
      <c r="J110" s="3">
        <f t="shared" si="114"/>
        <v>903.25</v>
      </c>
      <c r="K110" s="3">
        <f t="shared" si="115"/>
        <v>882.375</v>
      </c>
      <c r="L110" s="3">
        <f t="shared" si="116"/>
        <v>892.8125</v>
      </c>
      <c r="M110" s="19">
        <f t="shared" si="117"/>
        <v>887.59375</v>
      </c>
      <c r="N110" s="1"/>
      <c r="O110" s="174"/>
      <c r="P110" s="174"/>
      <c r="Q110" s="174"/>
      <c r="R110" s="174"/>
      <c r="S110" s="174"/>
      <c r="T110" s="174"/>
      <c r="U110" s="174"/>
      <c r="V110" s="174"/>
      <c r="W110" s="174"/>
      <c r="X110" s="174"/>
      <c r="Y110" s="174"/>
      <c r="Z110" s="174"/>
    </row>
    <row r="111" spans="1:26" customFormat="1" x14ac:dyDescent="0.25">
      <c r="A111" s="3"/>
      <c r="B111" s="111" t="s">
        <v>143</v>
      </c>
      <c r="C111" s="3"/>
      <c r="D111" s="3"/>
      <c r="E111" s="3"/>
      <c r="F111" s="3"/>
      <c r="G111" s="3">
        <v>771</v>
      </c>
      <c r="H111" s="20">
        <v>704</v>
      </c>
      <c r="I111" s="3">
        <f t="shared" si="89"/>
        <v>737.5</v>
      </c>
      <c r="J111" s="3">
        <f t="shared" si="114"/>
        <v>720.75</v>
      </c>
      <c r="K111" s="3">
        <f t="shared" si="115"/>
        <v>729.125</v>
      </c>
      <c r="L111" s="3">
        <f t="shared" si="116"/>
        <v>724.9375</v>
      </c>
      <c r="M111" s="19">
        <f t="shared" si="117"/>
        <v>727.03125</v>
      </c>
      <c r="N111" s="1"/>
      <c r="O111" s="174"/>
      <c r="P111" s="174"/>
      <c r="Q111" s="174"/>
      <c r="R111" s="174"/>
      <c r="S111" s="174"/>
      <c r="T111" s="174"/>
      <c r="U111" s="174"/>
      <c r="V111" s="174"/>
      <c r="W111" s="174"/>
      <c r="X111" s="174"/>
      <c r="Y111" s="174"/>
      <c r="Z111" s="174"/>
    </row>
    <row r="112" spans="1:26" customFormat="1" x14ac:dyDescent="0.25">
      <c r="A112" s="3"/>
      <c r="B112" s="111" t="s">
        <v>73</v>
      </c>
      <c r="C112" s="3"/>
      <c r="D112" s="3"/>
      <c r="E112" s="3"/>
      <c r="F112" s="3"/>
      <c r="G112" s="3">
        <v>1914</v>
      </c>
      <c r="H112" s="20">
        <v>1038</v>
      </c>
      <c r="I112" s="3">
        <f t="shared" si="89"/>
        <v>1476</v>
      </c>
      <c r="J112" s="3">
        <f t="shared" si="114"/>
        <v>1257</v>
      </c>
      <c r="K112" s="3">
        <f t="shared" si="115"/>
        <v>1366.5</v>
      </c>
      <c r="L112" s="3">
        <f t="shared" si="116"/>
        <v>1311.75</v>
      </c>
      <c r="M112" s="19">
        <f t="shared" si="117"/>
        <v>1339.125</v>
      </c>
      <c r="N112" s="1"/>
      <c r="O112" s="174"/>
      <c r="P112" s="174"/>
      <c r="Q112" s="174"/>
      <c r="R112" s="174"/>
      <c r="S112" s="174"/>
      <c r="T112" s="174"/>
      <c r="U112" s="174"/>
      <c r="V112" s="174"/>
      <c r="W112" s="174"/>
      <c r="X112" s="174"/>
      <c r="Y112" s="174"/>
      <c r="Z112" s="174"/>
    </row>
    <row r="113" spans="1:26" customFormat="1" x14ac:dyDescent="0.25">
      <c r="A113" s="3"/>
      <c r="B113" s="114" t="s">
        <v>144</v>
      </c>
      <c r="C113" s="3"/>
      <c r="D113" s="3"/>
      <c r="E113" s="3"/>
      <c r="F113" s="3"/>
      <c r="G113" s="3"/>
      <c r="H113" s="20"/>
      <c r="I113" s="3"/>
      <c r="J113" s="3"/>
      <c r="K113" s="3"/>
      <c r="L113" s="3"/>
      <c r="M113" s="19"/>
      <c r="N113" s="1"/>
      <c r="O113" s="174"/>
      <c r="P113" s="174"/>
      <c r="Q113" s="174"/>
      <c r="R113" s="174"/>
      <c r="S113" s="174"/>
      <c r="T113" s="174"/>
      <c r="U113" s="174"/>
      <c r="V113" s="174"/>
      <c r="W113" s="174"/>
      <c r="X113" s="174"/>
      <c r="Y113" s="174"/>
      <c r="Z113" s="174"/>
    </row>
    <row r="114" spans="1:26" customFormat="1" x14ac:dyDescent="0.25">
      <c r="A114" s="3"/>
      <c r="B114" s="111" t="s">
        <v>145</v>
      </c>
      <c r="C114" s="3"/>
      <c r="D114" s="3"/>
      <c r="E114" s="3"/>
      <c r="F114" s="3"/>
      <c r="G114" s="3">
        <v>0</v>
      </c>
      <c r="H114" s="20">
        <v>0</v>
      </c>
      <c r="I114" s="3">
        <f t="shared" si="89"/>
        <v>0</v>
      </c>
      <c r="J114" s="3">
        <f t="shared" ref="J114:J119" si="118">AVERAGE(H114:I114)</f>
        <v>0</v>
      </c>
      <c r="K114" s="3">
        <f t="shared" ref="K114:K119" si="119">AVERAGE(I114:J114)</f>
        <v>0</v>
      </c>
      <c r="L114" s="3">
        <f t="shared" ref="L114:L119" si="120">AVERAGE(J114:K114)</f>
        <v>0</v>
      </c>
      <c r="M114" s="19">
        <f t="shared" ref="M114:M119" si="121">AVERAGE(K114:L114)</f>
        <v>0</v>
      </c>
      <c r="N114" s="1"/>
      <c r="O114" s="174"/>
      <c r="P114" s="174"/>
      <c r="Q114" s="174"/>
      <c r="R114" s="174"/>
      <c r="S114" s="174"/>
      <c r="T114" s="174"/>
      <c r="U114" s="174"/>
      <c r="V114" s="174"/>
      <c r="W114" s="174"/>
      <c r="X114" s="174"/>
      <c r="Y114" s="174"/>
      <c r="Z114" s="174"/>
    </row>
    <row r="115" spans="1:26" customFormat="1" x14ac:dyDescent="0.25">
      <c r="A115" s="3"/>
      <c r="B115" s="111" t="s">
        <v>146</v>
      </c>
      <c r="C115" s="3"/>
      <c r="D115" s="3"/>
      <c r="E115" s="3"/>
      <c r="F115" s="3"/>
      <c r="G115" s="3">
        <v>17</v>
      </c>
      <c r="H115" s="20">
        <v>17</v>
      </c>
      <c r="I115" s="3">
        <f t="shared" si="89"/>
        <v>17</v>
      </c>
      <c r="J115" s="3">
        <f t="shared" si="118"/>
        <v>17</v>
      </c>
      <c r="K115" s="3">
        <f t="shared" si="119"/>
        <v>17</v>
      </c>
      <c r="L115" s="3">
        <f t="shared" si="120"/>
        <v>17</v>
      </c>
      <c r="M115" s="19">
        <f t="shared" si="121"/>
        <v>17</v>
      </c>
      <c r="N115" s="1"/>
      <c r="O115" s="174"/>
      <c r="P115" s="174"/>
      <c r="Q115" s="174"/>
      <c r="R115" s="174"/>
      <c r="S115" s="174"/>
      <c r="T115" s="174"/>
      <c r="U115" s="174"/>
      <c r="V115" s="174"/>
      <c r="W115" s="174"/>
      <c r="X115" s="174"/>
      <c r="Y115" s="174"/>
      <c r="Z115" s="174"/>
    </row>
    <row r="116" spans="1:26" customFormat="1" x14ac:dyDescent="0.25">
      <c r="A116" s="3"/>
      <c r="B116" s="111" t="s">
        <v>147</v>
      </c>
      <c r="C116" s="3"/>
      <c r="D116" s="3"/>
      <c r="E116" s="3"/>
      <c r="F116" s="3"/>
      <c r="G116" s="3">
        <v>9281</v>
      </c>
      <c r="H116" s="20">
        <v>9641</v>
      </c>
      <c r="I116" s="3">
        <f t="shared" si="89"/>
        <v>9461</v>
      </c>
      <c r="J116" s="3">
        <f t="shared" si="118"/>
        <v>9551</v>
      </c>
      <c r="K116" s="3">
        <f t="shared" si="119"/>
        <v>9506</v>
      </c>
      <c r="L116" s="3">
        <f t="shared" si="120"/>
        <v>9528.5</v>
      </c>
      <c r="M116" s="19">
        <f t="shared" si="121"/>
        <v>9517.25</v>
      </c>
      <c r="N116" s="1"/>
      <c r="O116" s="174"/>
      <c r="P116" s="174"/>
      <c r="Q116" s="174"/>
      <c r="R116" s="174"/>
      <c r="S116" s="174"/>
      <c r="T116" s="174"/>
      <c r="U116" s="174"/>
      <c r="V116" s="174"/>
      <c r="W116" s="174"/>
      <c r="X116" s="174"/>
      <c r="Y116" s="174"/>
      <c r="Z116" s="174"/>
    </row>
    <row r="117" spans="1:26" customFormat="1" x14ac:dyDescent="0.25">
      <c r="A117" s="3"/>
      <c r="B117" s="111" t="s">
        <v>148</v>
      </c>
      <c r="C117" s="3"/>
      <c r="D117" s="3"/>
      <c r="E117" s="3"/>
      <c r="F117" s="3"/>
      <c r="G117" s="3">
        <v>66834</v>
      </c>
      <c r="H117" s="20">
        <v>70282</v>
      </c>
      <c r="I117" s="3">
        <f t="shared" si="89"/>
        <v>68558</v>
      </c>
      <c r="J117" s="3">
        <f t="shared" si="118"/>
        <v>69420</v>
      </c>
      <c r="K117" s="3">
        <f t="shared" si="119"/>
        <v>68989</v>
      </c>
      <c r="L117" s="3">
        <f t="shared" si="120"/>
        <v>69204.5</v>
      </c>
      <c r="M117" s="19">
        <f t="shared" si="121"/>
        <v>69096.75</v>
      </c>
      <c r="N117" s="1"/>
      <c r="O117" s="174"/>
      <c r="P117" s="174"/>
      <c r="Q117" s="174"/>
      <c r="R117" s="174"/>
      <c r="S117" s="174"/>
      <c r="T117" s="174"/>
      <c r="U117" s="174"/>
      <c r="V117" s="174"/>
      <c r="W117" s="174"/>
      <c r="X117" s="174"/>
      <c r="Y117" s="174"/>
      <c r="Z117" s="174"/>
    </row>
    <row r="118" spans="1:26" customFormat="1" x14ac:dyDescent="0.25">
      <c r="A118" s="3"/>
      <c r="B118" s="111" t="s">
        <v>149</v>
      </c>
      <c r="C118" s="3"/>
      <c r="D118" s="3"/>
      <c r="E118" s="3"/>
      <c r="F118" s="3"/>
      <c r="G118" s="3">
        <v>-2553</v>
      </c>
      <c r="H118" s="20">
        <v>-2414</v>
      </c>
      <c r="I118" s="3">
        <f t="shared" si="89"/>
        <v>-2483.5</v>
      </c>
      <c r="J118" s="3">
        <f t="shared" si="118"/>
        <v>-2448.75</v>
      </c>
      <c r="K118" s="3">
        <f t="shared" si="119"/>
        <v>-2466.125</v>
      </c>
      <c r="L118" s="3">
        <f t="shared" si="120"/>
        <v>-2457.4375</v>
      </c>
      <c r="M118" s="19">
        <f t="shared" si="121"/>
        <v>-2461.78125</v>
      </c>
      <c r="N118" s="1"/>
      <c r="O118" s="174"/>
      <c r="P118" s="174"/>
      <c r="Q118" s="174"/>
      <c r="R118" s="174"/>
      <c r="S118" s="174"/>
      <c r="T118" s="174"/>
      <c r="U118" s="174"/>
      <c r="V118" s="174"/>
      <c r="W118" s="174"/>
      <c r="X118" s="174"/>
      <c r="Y118" s="174"/>
      <c r="Z118" s="174"/>
    </row>
    <row r="119" spans="1:26" customFormat="1" x14ac:dyDescent="0.25">
      <c r="A119" s="3"/>
      <c r="B119" s="111" t="s">
        <v>150</v>
      </c>
      <c r="C119" s="3"/>
      <c r="D119" s="3"/>
      <c r="E119" s="3"/>
      <c r="F119" s="3"/>
      <c r="G119" s="3">
        <v>-77375</v>
      </c>
      <c r="H119" s="20">
        <v>-79316</v>
      </c>
      <c r="I119" s="3">
        <f t="shared" si="89"/>
        <v>-78345.5</v>
      </c>
      <c r="J119" s="3">
        <f t="shared" si="118"/>
        <v>-78830.75</v>
      </c>
      <c r="K119" s="3">
        <f t="shared" si="119"/>
        <v>-78588.125</v>
      </c>
      <c r="L119" s="3">
        <f t="shared" si="120"/>
        <v>-78709.4375</v>
      </c>
      <c r="M119" s="19">
        <f t="shared" si="121"/>
        <v>-78648.78125</v>
      </c>
      <c r="N119" s="1"/>
      <c r="O119" s="174"/>
      <c r="P119" s="174"/>
      <c r="Q119" s="174"/>
      <c r="R119" s="174"/>
      <c r="S119" s="174"/>
      <c r="T119" s="174"/>
      <c r="U119" s="174"/>
      <c r="V119" s="174"/>
      <c r="W119" s="174"/>
      <c r="X119" s="174"/>
      <c r="Y119" s="174"/>
      <c r="Z119" s="174"/>
    </row>
    <row r="120" spans="1:26" customFormat="1" x14ac:dyDescent="0.25">
      <c r="A120" s="3"/>
      <c r="B120" s="114" t="s">
        <v>151</v>
      </c>
      <c r="C120" s="11"/>
      <c r="D120" s="11"/>
      <c r="E120" s="11"/>
      <c r="F120" s="11"/>
      <c r="G120" s="11">
        <f>SUM(G114:G119)</f>
        <v>-3796</v>
      </c>
      <c r="H120" s="238">
        <f t="shared" ref="H120:M120" si="122">SUM(H114:H119)</f>
        <v>-1790</v>
      </c>
      <c r="I120" s="11">
        <f t="shared" si="122"/>
        <v>-2793</v>
      </c>
      <c r="J120" s="11">
        <f t="shared" si="122"/>
        <v>-2291.5</v>
      </c>
      <c r="K120" s="11">
        <f t="shared" si="122"/>
        <v>-2542.25</v>
      </c>
      <c r="L120" s="11">
        <f t="shared" si="122"/>
        <v>-2416.875</v>
      </c>
      <c r="M120" s="166">
        <f t="shared" si="122"/>
        <v>-2479.5625</v>
      </c>
      <c r="N120" s="2"/>
      <c r="O120" s="174"/>
      <c r="P120" s="174"/>
      <c r="Q120" s="174"/>
      <c r="R120" s="174"/>
      <c r="S120" s="174"/>
      <c r="T120" s="174"/>
      <c r="U120" s="174"/>
      <c r="V120" s="174"/>
      <c r="W120" s="174"/>
      <c r="X120" s="174"/>
      <c r="Y120" s="174"/>
      <c r="Z120" s="174"/>
    </row>
    <row r="121" spans="1:26" x14ac:dyDescent="0.25">
      <c r="B121" s="4" t="s">
        <v>152</v>
      </c>
      <c r="C121" s="5"/>
      <c r="D121" s="5"/>
      <c r="E121" s="5"/>
      <c r="F121" s="5"/>
      <c r="G121" s="175">
        <f>SUM(G106:G112)+G120</f>
        <v>55184</v>
      </c>
      <c r="H121" s="176">
        <f>SUM(H106:H112)+H120</f>
        <v>59517</v>
      </c>
      <c r="I121" s="175">
        <f t="shared" ref="I121:M121" si="123">SUM(I106:I112)+I120</f>
        <v>57350.5</v>
      </c>
      <c r="J121" s="175">
        <f t="shared" si="123"/>
        <v>58433.75</v>
      </c>
      <c r="K121" s="175">
        <f t="shared" si="123"/>
        <v>57892.125</v>
      </c>
      <c r="L121" s="175">
        <f t="shared" si="123"/>
        <v>58162.9375</v>
      </c>
      <c r="M121" s="237">
        <f t="shared" si="123"/>
        <v>58027.53125</v>
      </c>
    </row>
  </sheetData>
  <conditionalFormatting sqref="R40 R44 R51">
    <cfRule type="expression" dxfId="1" priority="2">
      <formula>R40=""</formula>
    </cfRule>
  </conditionalFormatting>
  <conditionalFormatting sqref="Z36:Z38 Z41 Z43">
    <cfRule type="expression" dxfId="0" priority="1">
      <formula>Z36=""</formula>
    </cfRule>
  </conditionalFormatting>
  <pageMargins left="0.7" right="0.7" top="0.75" bottom="0.75" header="0.3" footer="0.3"/>
  <pageSetup paperSize="121" fitToWidth="0" fitToHeight="6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06EA3-83B0-4D7A-A254-05B0B8AFABED}">
  <dimension ref="A1:H113"/>
  <sheetViews>
    <sheetView topLeftCell="A35" workbookViewId="0">
      <selection activeCell="D48" sqref="D48:F48"/>
    </sheetView>
  </sheetViews>
  <sheetFormatPr defaultRowHeight="15" x14ac:dyDescent="0.25"/>
  <cols>
    <col min="1" max="1" width="57.85546875" bestFit="1" customWidth="1"/>
    <col min="2" max="4" width="11.85546875" bestFit="1" customWidth="1"/>
  </cols>
  <sheetData>
    <row r="1" spans="1:8" ht="15" customHeight="1" thickTop="1" x14ac:dyDescent="0.25">
      <c r="A1" s="42" t="s">
        <v>17</v>
      </c>
      <c r="B1" s="66" t="s">
        <v>19</v>
      </c>
      <c r="C1" s="67"/>
      <c r="D1" s="67"/>
    </row>
    <row r="2" spans="1:8" ht="15" customHeight="1" x14ac:dyDescent="0.25">
      <c r="A2" s="43" t="s">
        <v>18</v>
      </c>
      <c r="B2" s="44" t="s">
        <v>22</v>
      </c>
      <c r="C2" s="30" t="s">
        <v>21</v>
      </c>
      <c r="D2" s="30" t="s">
        <v>20</v>
      </c>
    </row>
    <row r="3" spans="1:8" ht="15" customHeight="1" x14ac:dyDescent="0.25">
      <c r="A3" s="45" t="s">
        <v>23</v>
      </c>
      <c r="B3" s="46"/>
      <c r="C3" s="31"/>
      <c r="D3" s="31"/>
    </row>
    <row r="4" spans="1:8" ht="15" customHeight="1" x14ac:dyDescent="0.25">
      <c r="A4" s="47" t="s">
        <v>24</v>
      </c>
      <c r="B4" s="48">
        <v>15437</v>
      </c>
      <c r="C4" s="32">
        <v>15715</v>
      </c>
      <c r="D4" s="32">
        <v>16548</v>
      </c>
    </row>
    <row r="5" spans="1:8" ht="15" customHeight="1" x14ac:dyDescent="0.25">
      <c r="A5" s="45" t="s">
        <v>25</v>
      </c>
      <c r="B5" s="49">
        <v>9742</v>
      </c>
      <c r="C5" s="33">
        <v>9782</v>
      </c>
      <c r="D5" s="33">
        <v>9690</v>
      </c>
    </row>
    <row r="6" spans="1:8" ht="15" customHeight="1" x14ac:dyDescent="0.25">
      <c r="A6" s="47" t="s">
        <v>26</v>
      </c>
      <c r="B6" s="50">
        <v>316</v>
      </c>
      <c r="C6" s="34">
        <v>423</v>
      </c>
      <c r="D6" s="34">
        <v>647</v>
      </c>
    </row>
    <row r="7" spans="1:8" ht="15" customHeight="1" thickBot="1" x14ac:dyDescent="0.3">
      <c r="A7" s="45" t="s">
        <v>27</v>
      </c>
      <c r="B7" s="51">
        <v>25494</v>
      </c>
      <c r="C7" s="35">
        <v>25920</v>
      </c>
      <c r="D7" s="35">
        <v>26885</v>
      </c>
    </row>
    <row r="8" spans="1:8" ht="15" customHeight="1" x14ac:dyDescent="0.25">
      <c r="A8" s="47" t="s">
        <v>28</v>
      </c>
      <c r="B8" s="52"/>
      <c r="C8" s="36"/>
      <c r="D8" s="36"/>
    </row>
    <row r="9" spans="1:8" ht="15" customHeight="1" x14ac:dyDescent="0.25">
      <c r="A9" s="45" t="s">
        <v>29</v>
      </c>
      <c r="B9" s="49">
        <v>2475</v>
      </c>
      <c r="C9" s="33">
        <v>2536</v>
      </c>
      <c r="D9" s="33">
        <v>2618</v>
      </c>
      <c r="H9" s="61"/>
    </row>
    <row r="10" spans="1:8" ht="15" customHeight="1" x14ac:dyDescent="0.25">
      <c r="A10" s="47" t="s">
        <v>30</v>
      </c>
      <c r="B10" s="53">
        <v>3039</v>
      </c>
      <c r="C10" s="37">
        <v>2995</v>
      </c>
      <c r="D10" s="37">
        <v>3006</v>
      </c>
    </row>
    <row r="11" spans="1:8" ht="15" customHeight="1" x14ac:dyDescent="0.25">
      <c r="A11" s="45" t="s">
        <v>31</v>
      </c>
      <c r="B11" s="49">
        <v>2886</v>
      </c>
      <c r="C11" s="33">
        <v>2959</v>
      </c>
      <c r="D11" s="33">
        <v>2905</v>
      </c>
    </row>
    <row r="12" spans="1:8" ht="15" customHeight="1" x14ac:dyDescent="0.25">
      <c r="A12" s="47" t="s">
        <v>32</v>
      </c>
      <c r="B12" s="53">
        <v>2299</v>
      </c>
      <c r="C12" s="37">
        <v>2381</v>
      </c>
      <c r="D12" s="37">
        <v>2358</v>
      </c>
    </row>
    <row r="13" spans="1:8" ht="15" customHeight="1" x14ac:dyDescent="0.25">
      <c r="A13" s="45" t="s">
        <v>33</v>
      </c>
      <c r="B13" s="54">
        <v>232</v>
      </c>
      <c r="C13" s="38">
        <v>339</v>
      </c>
      <c r="D13" s="38">
        <v>564</v>
      </c>
    </row>
    <row r="14" spans="1:8" ht="15" customHeight="1" x14ac:dyDescent="0.25">
      <c r="A14" s="47" t="s">
        <v>34</v>
      </c>
      <c r="B14" s="50">
        <v>382</v>
      </c>
      <c r="C14" s="34">
        <v>447</v>
      </c>
      <c r="D14" s="34">
        <v>457</v>
      </c>
    </row>
    <row r="15" spans="1:8" ht="15" customHeight="1" x14ac:dyDescent="0.25">
      <c r="A15" s="45" t="s">
        <v>35</v>
      </c>
      <c r="B15" s="49">
        <v>2435</v>
      </c>
      <c r="C15" s="33">
        <v>2412</v>
      </c>
      <c r="D15" s="33">
        <v>2583</v>
      </c>
    </row>
    <row r="16" spans="1:8" ht="15" customHeight="1" x14ac:dyDescent="0.25">
      <c r="A16" s="47" t="s">
        <v>36</v>
      </c>
      <c r="B16" s="50">
        <v>99</v>
      </c>
      <c r="C16" s="34">
        <v>139</v>
      </c>
      <c r="D16" s="34">
        <v>2</v>
      </c>
    </row>
    <row r="17" spans="1:4" ht="15" customHeight="1" thickBot="1" x14ac:dyDescent="0.3">
      <c r="A17" s="45" t="s">
        <v>37</v>
      </c>
      <c r="B17" s="51">
        <v>13847</v>
      </c>
      <c r="C17" s="35">
        <v>14208</v>
      </c>
      <c r="D17" s="35">
        <v>14492</v>
      </c>
    </row>
    <row r="18" spans="1:4" ht="15" customHeight="1" thickBot="1" x14ac:dyDescent="0.3">
      <c r="A18" s="47" t="s">
        <v>38</v>
      </c>
      <c r="B18" s="55">
        <v>11647</v>
      </c>
      <c r="C18" s="39">
        <v>11712</v>
      </c>
      <c r="D18" s="39">
        <v>12393</v>
      </c>
    </row>
    <row r="19" spans="1:4" ht="15" customHeight="1" x14ac:dyDescent="0.25">
      <c r="A19" s="45" t="s">
        <v>39</v>
      </c>
      <c r="B19" s="49">
        <v>1361</v>
      </c>
      <c r="C19" s="33">
        <v>1506</v>
      </c>
      <c r="D19" s="33">
        <v>1582</v>
      </c>
    </row>
    <row r="20" spans="1:4" ht="15" customHeight="1" x14ac:dyDescent="0.25">
      <c r="A20" s="47" t="s">
        <v>40</v>
      </c>
      <c r="B20" s="56">
        <v>-236</v>
      </c>
      <c r="C20" s="40">
        <v>-139</v>
      </c>
      <c r="D20" s="40">
        <v>-87</v>
      </c>
    </row>
    <row r="21" spans="1:4" ht="15" customHeight="1" thickBot="1" x14ac:dyDescent="0.3">
      <c r="A21" s="45" t="s">
        <v>41</v>
      </c>
      <c r="B21" s="51">
        <v>10522</v>
      </c>
      <c r="C21" s="35">
        <v>10345</v>
      </c>
      <c r="D21" s="35">
        <v>10897</v>
      </c>
    </row>
    <row r="22" spans="1:4" ht="15" customHeight="1" x14ac:dyDescent="0.25">
      <c r="A22" s="47" t="s">
        <v>42</v>
      </c>
      <c r="B22" s="53">
        <v>2053</v>
      </c>
      <c r="C22" s="37">
        <v>2121</v>
      </c>
      <c r="D22" s="37">
        <v>2334</v>
      </c>
    </row>
    <row r="23" spans="1:4" ht="15" customHeight="1" thickBot="1" x14ac:dyDescent="0.3">
      <c r="A23" s="45" t="s">
        <v>43</v>
      </c>
      <c r="B23" s="57">
        <v>8469</v>
      </c>
      <c r="C23" s="41">
        <v>8223</v>
      </c>
      <c r="D23" s="41">
        <v>8563</v>
      </c>
    </row>
    <row r="24" spans="1:4" ht="15" customHeight="1" x14ac:dyDescent="0.25">
      <c r="A24" s="47" t="s">
        <v>44</v>
      </c>
      <c r="B24" s="48">
        <v>11.63</v>
      </c>
      <c r="C24" s="32">
        <v>11.45</v>
      </c>
      <c r="D24" s="32">
        <v>12</v>
      </c>
    </row>
    <row r="25" spans="1:4" ht="15" customHeight="1" x14ac:dyDescent="0.25">
      <c r="A25" s="45" t="s">
        <v>45</v>
      </c>
      <c r="B25" s="54">
        <v>11.56</v>
      </c>
      <c r="C25" s="38">
        <v>11.39</v>
      </c>
      <c r="D25" s="38">
        <v>11.95</v>
      </c>
    </row>
    <row r="26" spans="1:4" ht="15" customHeight="1" x14ac:dyDescent="0.25">
      <c r="A26" s="47" t="s">
        <v>46</v>
      </c>
      <c r="B26" s="48">
        <v>6.23</v>
      </c>
      <c r="C26" s="32">
        <v>6.78</v>
      </c>
      <c r="D26" s="32">
        <v>7.17</v>
      </c>
    </row>
    <row r="27" spans="1:4" ht="15" customHeight="1" x14ac:dyDescent="0.25">
      <c r="A27" s="45" t="s">
        <v>47</v>
      </c>
      <c r="B27" s="54">
        <v>727.9</v>
      </c>
      <c r="C27" s="38">
        <v>718.3</v>
      </c>
      <c r="D27" s="38">
        <v>713.4</v>
      </c>
    </row>
    <row r="28" spans="1:4" ht="15" customHeight="1" thickBot="1" x14ac:dyDescent="0.3">
      <c r="A28" s="58" t="s">
        <v>48</v>
      </c>
      <c r="B28" s="60">
        <v>732.3</v>
      </c>
      <c r="C28" s="59">
        <v>721.9</v>
      </c>
      <c r="D28" s="59">
        <v>716.4</v>
      </c>
    </row>
    <row r="29" spans="1:4" ht="15" customHeight="1" thickTop="1" thickBot="1" x14ac:dyDescent="0.3"/>
    <row r="30" spans="1:4" ht="15" customHeight="1" thickTop="1" x14ac:dyDescent="0.25">
      <c r="A30" s="42" t="s">
        <v>70</v>
      </c>
      <c r="B30" s="65"/>
      <c r="C30" s="64"/>
      <c r="D30" s="64" t="s">
        <v>19</v>
      </c>
    </row>
    <row r="31" spans="1:4" ht="15" customHeight="1" x14ac:dyDescent="0.25">
      <c r="A31" s="43" t="s">
        <v>18</v>
      </c>
      <c r="B31" s="44" t="s">
        <v>22</v>
      </c>
      <c r="C31" s="30" t="s">
        <v>21</v>
      </c>
      <c r="D31" s="30" t="s">
        <v>20</v>
      </c>
    </row>
    <row r="32" spans="1:4" ht="15" customHeight="1" x14ac:dyDescent="0.25">
      <c r="A32" s="45" t="s">
        <v>71</v>
      </c>
      <c r="B32" s="46"/>
      <c r="C32" s="31"/>
      <c r="D32" s="31"/>
    </row>
    <row r="33" spans="1:4" ht="15" customHeight="1" x14ac:dyDescent="0.25">
      <c r="A33" s="47" t="s">
        <v>43</v>
      </c>
      <c r="B33" s="48">
        <v>8469</v>
      </c>
      <c r="C33" s="32">
        <v>8223</v>
      </c>
      <c r="D33" s="32">
        <v>8563</v>
      </c>
    </row>
    <row r="34" spans="1:4" ht="15" customHeight="1" x14ac:dyDescent="0.25">
      <c r="A34" s="45" t="s">
        <v>72</v>
      </c>
      <c r="B34" s="46"/>
      <c r="C34" s="31"/>
      <c r="D34" s="31"/>
    </row>
    <row r="35" spans="1:4" ht="15" customHeight="1" x14ac:dyDescent="0.25">
      <c r="A35" s="47" t="s">
        <v>34</v>
      </c>
      <c r="B35" s="53">
        <v>1978</v>
      </c>
      <c r="C35" s="37">
        <v>2097</v>
      </c>
      <c r="D35" s="37">
        <v>2199</v>
      </c>
    </row>
    <row r="36" spans="1:4" ht="15" customHeight="1" x14ac:dyDescent="0.25">
      <c r="A36" s="45" t="s">
        <v>73</v>
      </c>
      <c r="B36" s="138">
        <v>-686</v>
      </c>
      <c r="C36" s="132">
        <v>-574</v>
      </c>
      <c r="D36" s="132">
        <v>-126</v>
      </c>
    </row>
    <row r="37" spans="1:4" ht="15" customHeight="1" x14ac:dyDescent="0.25">
      <c r="A37" s="47" t="s">
        <v>74</v>
      </c>
      <c r="B37" s="50">
        <v>175</v>
      </c>
      <c r="C37" s="34">
        <v>172</v>
      </c>
      <c r="D37" s="34">
        <v>165</v>
      </c>
    </row>
    <row r="38" spans="1:4" ht="15" customHeight="1" x14ac:dyDescent="0.25">
      <c r="A38" s="45" t="s">
        <v>75</v>
      </c>
      <c r="B38" s="138">
        <v>-103</v>
      </c>
      <c r="C38" s="132">
        <v>-37</v>
      </c>
      <c r="D38" s="132">
        <v>-149</v>
      </c>
    </row>
    <row r="39" spans="1:4" ht="15" customHeight="1" x14ac:dyDescent="0.25">
      <c r="A39" s="47" t="s">
        <v>35</v>
      </c>
      <c r="B39" s="56">
        <v>-113</v>
      </c>
      <c r="C39" s="34">
        <v>3</v>
      </c>
      <c r="D39" s="40">
        <v>-207</v>
      </c>
    </row>
    <row r="40" spans="1:4" ht="15" customHeight="1" x14ac:dyDescent="0.25">
      <c r="A40" s="45" t="s">
        <v>76</v>
      </c>
      <c r="B40" s="46"/>
      <c r="C40" s="31"/>
      <c r="D40" s="31"/>
    </row>
    <row r="41" spans="1:4" ht="15" customHeight="1" x14ac:dyDescent="0.25">
      <c r="A41" s="47" t="s">
        <v>77</v>
      </c>
      <c r="B41" s="56">
        <v>-161</v>
      </c>
      <c r="C41" s="34">
        <v>10</v>
      </c>
      <c r="D41" s="34">
        <v>231</v>
      </c>
    </row>
    <row r="42" spans="1:4" ht="15" customHeight="1" x14ac:dyDescent="0.25">
      <c r="A42" s="45" t="s">
        <v>78</v>
      </c>
      <c r="B42" s="54">
        <v>17</v>
      </c>
      <c r="C42" s="38">
        <v>71</v>
      </c>
      <c r="D42" s="132">
        <v>-140</v>
      </c>
    </row>
    <row r="43" spans="1:4" ht="15" customHeight="1" x14ac:dyDescent="0.25">
      <c r="A43" s="47" t="s">
        <v>79</v>
      </c>
      <c r="B43" s="50">
        <v>50</v>
      </c>
      <c r="C43" s="40">
        <v>-10</v>
      </c>
      <c r="D43" s="34">
        <v>100</v>
      </c>
    </row>
    <row r="44" spans="1:4" ht="15" customHeight="1" x14ac:dyDescent="0.25">
      <c r="A44" s="45" t="s">
        <v>80</v>
      </c>
      <c r="B44" s="138">
        <v>-220</v>
      </c>
      <c r="C44" s="132">
        <v>-292</v>
      </c>
      <c r="D44" s="132">
        <v>-239</v>
      </c>
    </row>
    <row r="45" spans="1:4" ht="15" customHeight="1" x14ac:dyDescent="0.25">
      <c r="A45" s="47" t="s">
        <v>81</v>
      </c>
      <c r="B45" s="50">
        <v>206</v>
      </c>
      <c r="C45" s="40">
        <v>-217</v>
      </c>
      <c r="D45" s="34">
        <v>154</v>
      </c>
    </row>
    <row r="46" spans="1:4" ht="15" customHeight="1" thickBot="1" x14ac:dyDescent="0.3">
      <c r="A46" s="45" t="s">
        <v>82</v>
      </c>
      <c r="B46" s="51">
        <v>9612</v>
      </c>
      <c r="C46" s="35">
        <v>9447</v>
      </c>
      <c r="D46" s="35">
        <v>10551</v>
      </c>
    </row>
    <row r="47" spans="1:4" ht="15" customHeight="1" x14ac:dyDescent="0.25">
      <c r="A47" s="47" t="s">
        <v>83</v>
      </c>
      <c r="B47" s="52"/>
      <c r="C47" s="36"/>
      <c r="D47" s="36"/>
    </row>
    <row r="48" spans="1:4" ht="15" customHeight="1" x14ac:dyDescent="0.25">
      <c r="A48" s="45" t="s">
        <v>84</v>
      </c>
      <c r="B48" s="139">
        <v>-2357</v>
      </c>
      <c r="C48" s="133">
        <v>-2775</v>
      </c>
      <c r="D48" s="133">
        <v>-3365</v>
      </c>
    </row>
    <row r="49" spans="1:4" ht="15" customHeight="1" x14ac:dyDescent="0.25">
      <c r="A49" s="47" t="s">
        <v>85</v>
      </c>
      <c r="B49" s="56">
        <v>-441</v>
      </c>
      <c r="C49" s="40">
        <v>-669</v>
      </c>
      <c r="D49" s="40">
        <v>-354</v>
      </c>
    </row>
    <row r="50" spans="1:4" ht="15" customHeight="1" x14ac:dyDescent="0.25">
      <c r="A50" s="45" t="s">
        <v>86</v>
      </c>
      <c r="B50" s="54">
        <v>0</v>
      </c>
      <c r="C50" s="33">
        <v>1837</v>
      </c>
      <c r="D50" s="38">
        <v>0</v>
      </c>
    </row>
    <row r="51" spans="1:4" ht="15" customHeight="1" x14ac:dyDescent="0.25">
      <c r="A51" s="47" t="s">
        <v>87</v>
      </c>
      <c r="B51" s="50">
        <v>195</v>
      </c>
      <c r="C51" s="34">
        <v>311</v>
      </c>
      <c r="D51" s="34">
        <v>346</v>
      </c>
    </row>
    <row r="52" spans="1:4" ht="15" customHeight="1" x14ac:dyDescent="0.25">
      <c r="A52" s="45" t="s">
        <v>88</v>
      </c>
      <c r="B52" s="54">
        <v>95</v>
      </c>
      <c r="C52" s="38">
        <v>122</v>
      </c>
      <c r="D52" s="38">
        <v>130</v>
      </c>
    </row>
    <row r="53" spans="1:4" ht="15" customHeight="1" x14ac:dyDescent="0.25">
      <c r="A53" s="47" t="s">
        <v>35</v>
      </c>
      <c r="B53" s="56">
        <v>-676</v>
      </c>
      <c r="C53" s="40">
        <v>-498</v>
      </c>
      <c r="D53" s="40">
        <v>-579</v>
      </c>
    </row>
    <row r="54" spans="1:4" ht="15" customHeight="1" thickBot="1" x14ac:dyDescent="0.3">
      <c r="A54" s="45" t="s">
        <v>89</v>
      </c>
      <c r="B54" s="140">
        <v>-3185</v>
      </c>
      <c r="C54" s="134">
        <v>-5346</v>
      </c>
      <c r="D54" s="134">
        <v>-3822</v>
      </c>
    </row>
    <row r="55" spans="1:4" ht="15" customHeight="1" x14ac:dyDescent="0.25">
      <c r="A55" s="47" t="s">
        <v>90</v>
      </c>
      <c r="B55" s="52"/>
      <c r="C55" s="36"/>
      <c r="D55" s="36"/>
    </row>
    <row r="56" spans="1:4" ht="15" customHeight="1" x14ac:dyDescent="0.25">
      <c r="A56" s="45" t="s">
        <v>91</v>
      </c>
      <c r="B56" s="54">
        <v>213</v>
      </c>
      <c r="C56" s="38">
        <v>326</v>
      </c>
      <c r="D56" s="38">
        <v>6</v>
      </c>
    </row>
    <row r="57" spans="1:4" ht="15" customHeight="1" x14ac:dyDescent="0.25">
      <c r="A57" s="47" t="s">
        <v>92</v>
      </c>
      <c r="B57" s="53">
        <v>5221</v>
      </c>
      <c r="C57" s="37">
        <v>2380</v>
      </c>
      <c r="D57" s="37">
        <v>4724</v>
      </c>
    </row>
    <row r="58" spans="1:4" ht="15" customHeight="1" x14ac:dyDescent="0.25">
      <c r="A58" s="45" t="s">
        <v>93</v>
      </c>
      <c r="B58" s="139">
        <v>-2441</v>
      </c>
      <c r="C58" s="133">
        <v>-2777</v>
      </c>
      <c r="D58" s="133">
        <v>-4802</v>
      </c>
    </row>
    <row r="59" spans="1:4" ht="15" customHeight="1" x14ac:dyDescent="0.25">
      <c r="A59" s="47" t="s">
        <v>94</v>
      </c>
      <c r="B59" s="141">
        <v>-3054</v>
      </c>
      <c r="C59" s="135">
        <v>-2824</v>
      </c>
      <c r="D59" s="135">
        <v>-2056</v>
      </c>
    </row>
    <row r="60" spans="1:4" ht="15" customHeight="1" x14ac:dyDescent="0.25">
      <c r="A60" s="45" t="s">
        <v>95</v>
      </c>
      <c r="B60" s="139">
        <v>-4533</v>
      </c>
      <c r="C60" s="133">
        <v>-4870</v>
      </c>
      <c r="D60" s="133">
        <v>-5115</v>
      </c>
    </row>
    <row r="61" spans="1:4" ht="15" customHeight="1" x14ac:dyDescent="0.25">
      <c r="A61" s="47" t="s">
        <v>96</v>
      </c>
      <c r="B61" s="50">
        <v>260</v>
      </c>
      <c r="C61" s="34">
        <v>328</v>
      </c>
      <c r="D61" s="34">
        <v>285</v>
      </c>
    </row>
    <row r="62" spans="1:4" ht="15" customHeight="1" x14ac:dyDescent="0.25">
      <c r="A62" s="45" t="s">
        <v>35</v>
      </c>
      <c r="B62" s="138">
        <v>-40</v>
      </c>
      <c r="C62" s="132">
        <v>-56</v>
      </c>
      <c r="D62" s="132">
        <v>-167</v>
      </c>
    </row>
    <row r="63" spans="1:4" ht="15" customHeight="1" thickBot="1" x14ac:dyDescent="0.3">
      <c r="A63" s="47" t="s">
        <v>97</v>
      </c>
      <c r="B63" s="142">
        <v>-4374</v>
      </c>
      <c r="C63" s="136">
        <v>-7495</v>
      </c>
      <c r="D63" s="136">
        <v>-7125</v>
      </c>
    </row>
    <row r="64" spans="1:4" ht="15" customHeight="1" x14ac:dyDescent="0.25">
      <c r="A64" s="45" t="s">
        <v>98</v>
      </c>
      <c r="B64" s="138">
        <v>-58</v>
      </c>
      <c r="C64" s="132">
        <v>-101</v>
      </c>
      <c r="D64" s="38">
        <v>86</v>
      </c>
    </row>
    <row r="65" spans="1:4" ht="15" customHeight="1" thickBot="1" x14ac:dyDescent="0.3">
      <c r="A65" s="47" t="s">
        <v>99</v>
      </c>
      <c r="B65" s="55">
        <v>1996</v>
      </c>
      <c r="C65" s="136">
        <v>-3494</v>
      </c>
      <c r="D65" s="137">
        <v>-311</v>
      </c>
    </row>
    <row r="66" spans="1:4" ht="15" customHeight="1" x14ac:dyDescent="0.25">
      <c r="A66" s="45" t="s">
        <v>100</v>
      </c>
      <c r="B66" s="49">
        <v>2584</v>
      </c>
      <c r="C66" s="33">
        <v>4579</v>
      </c>
      <c r="D66" s="33">
        <v>1085</v>
      </c>
    </row>
    <row r="67" spans="1:4" ht="15" customHeight="1" x14ac:dyDescent="0.25">
      <c r="A67" s="47" t="s">
        <v>101</v>
      </c>
      <c r="B67" s="53">
        <v>4579</v>
      </c>
      <c r="C67" s="37">
        <v>1085</v>
      </c>
      <c r="D67" s="34">
        <v>774</v>
      </c>
    </row>
    <row r="68" spans="1:4" ht="15" customHeight="1" x14ac:dyDescent="0.25">
      <c r="A68" s="45" t="s">
        <v>102</v>
      </c>
      <c r="B68" s="46"/>
      <c r="C68" s="31"/>
      <c r="D68" s="31"/>
    </row>
    <row r="69" spans="1:4" ht="15" customHeight="1" thickBot="1" x14ac:dyDescent="0.3">
      <c r="A69" s="58" t="s">
        <v>103</v>
      </c>
      <c r="B69" s="144">
        <v>1287</v>
      </c>
      <c r="C69" s="143">
        <v>1523</v>
      </c>
      <c r="D69" s="143">
        <v>1555</v>
      </c>
    </row>
    <row r="70" spans="1:4" ht="15" customHeight="1" thickTop="1" thickBot="1" x14ac:dyDescent="0.3"/>
    <row r="71" spans="1:4" ht="15" customHeight="1" thickTop="1" x14ac:dyDescent="0.25">
      <c r="A71" s="42" t="s">
        <v>115</v>
      </c>
      <c r="B71" s="244" t="s">
        <v>20</v>
      </c>
      <c r="C71" s="246" t="s">
        <v>21</v>
      </c>
    </row>
    <row r="72" spans="1:4" ht="15" customHeight="1" x14ac:dyDescent="0.25">
      <c r="A72" s="43" t="s">
        <v>18</v>
      </c>
      <c r="B72" s="245"/>
      <c r="C72" s="247"/>
    </row>
    <row r="73" spans="1:4" ht="15" customHeight="1" x14ac:dyDescent="0.25">
      <c r="A73" s="45" t="s">
        <v>116</v>
      </c>
      <c r="B73" s="31"/>
      <c r="C73" s="46"/>
    </row>
    <row r="74" spans="1:4" ht="15" customHeight="1" x14ac:dyDescent="0.25">
      <c r="A74" s="47" t="s">
        <v>117</v>
      </c>
      <c r="B74" s="32">
        <v>774</v>
      </c>
      <c r="C74" s="48">
        <v>1085</v>
      </c>
    </row>
    <row r="75" spans="1:4" ht="15" customHeight="1" x14ac:dyDescent="0.25">
      <c r="A75" s="45" t="s">
        <v>118</v>
      </c>
      <c r="B75" s="33">
        <v>2466</v>
      </c>
      <c r="C75" s="49">
        <v>2383</v>
      </c>
    </row>
    <row r="76" spans="1:4" ht="15" customHeight="1" x14ac:dyDescent="0.25">
      <c r="A76" s="47" t="s">
        <v>119</v>
      </c>
      <c r="B76" s="34">
        <v>61</v>
      </c>
      <c r="C76" s="50">
        <v>56</v>
      </c>
    </row>
    <row r="77" spans="1:4" ht="15" customHeight="1" x14ac:dyDescent="0.25">
      <c r="A77" s="45" t="s">
        <v>120</v>
      </c>
      <c r="B77" s="38">
        <v>863</v>
      </c>
      <c r="C77" s="49">
        <v>1074</v>
      </c>
    </row>
    <row r="78" spans="1:4" ht="15" customHeight="1" thickBot="1" x14ac:dyDescent="0.3">
      <c r="A78" s="47" t="s">
        <v>121</v>
      </c>
      <c r="B78" s="39">
        <v>4163</v>
      </c>
      <c r="C78" s="55">
        <v>4599</v>
      </c>
    </row>
    <row r="79" spans="1:4" ht="15" customHeight="1" x14ac:dyDescent="0.25">
      <c r="A79" s="45" t="s">
        <v>122</v>
      </c>
      <c r="B79" s="31"/>
      <c r="C79" s="46"/>
    </row>
    <row r="80" spans="1:4" ht="15" customHeight="1" x14ac:dyDescent="0.25">
      <c r="A80" s="47" t="s">
        <v>123</v>
      </c>
      <c r="B80" s="37">
        <v>2820</v>
      </c>
      <c r="C80" s="53">
        <v>2710</v>
      </c>
    </row>
    <row r="81" spans="1:3" x14ac:dyDescent="0.25">
      <c r="A81" s="45" t="s">
        <v>124</v>
      </c>
      <c r="B81" s="33">
        <v>3354</v>
      </c>
      <c r="C81" s="49">
        <v>3145</v>
      </c>
    </row>
    <row r="82" spans="1:3" x14ac:dyDescent="0.25">
      <c r="A82" s="47" t="s">
        <v>125</v>
      </c>
      <c r="B82" s="37">
        <v>6331</v>
      </c>
      <c r="C82" s="53">
        <v>6095</v>
      </c>
    </row>
    <row r="83" spans="1:3" ht="15.75" thickBot="1" x14ac:dyDescent="0.3">
      <c r="A83" s="45" t="s">
        <v>126</v>
      </c>
      <c r="B83" s="35">
        <v>12505</v>
      </c>
      <c r="C83" s="51">
        <v>11950</v>
      </c>
    </row>
    <row r="84" spans="1:3" x14ac:dyDescent="0.25">
      <c r="A84" s="47" t="s">
        <v>127</v>
      </c>
      <c r="B84" s="37">
        <v>14606</v>
      </c>
      <c r="C84" s="53">
        <v>13339</v>
      </c>
    </row>
    <row r="85" spans="1:3" x14ac:dyDescent="0.25">
      <c r="A85" s="45" t="s">
        <v>128</v>
      </c>
      <c r="B85" s="31"/>
      <c r="C85" s="46"/>
    </row>
    <row r="86" spans="1:3" x14ac:dyDescent="0.25">
      <c r="A86" s="47" t="s">
        <v>129</v>
      </c>
      <c r="B86" s="37">
        <v>49290</v>
      </c>
      <c r="C86" s="53">
        <v>44177</v>
      </c>
    </row>
    <row r="87" spans="1:3" x14ac:dyDescent="0.25">
      <c r="A87" s="45" t="s">
        <v>130</v>
      </c>
      <c r="B87" s="133">
        <v>-21049</v>
      </c>
      <c r="C87" s="139">
        <v>-18882</v>
      </c>
    </row>
    <row r="88" spans="1:3" ht="15.75" thickBot="1" x14ac:dyDescent="0.3">
      <c r="A88" s="47" t="s">
        <v>131</v>
      </c>
      <c r="B88" s="39">
        <v>28241</v>
      </c>
      <c r="C88" s="55">
        <v>25295</v>
      </c>
    </row>
    <row r="89" spans="1:3" ht="15.75" thickBot="1" x14ac:dyDescent="0.3">
      <c r="A89" s="45" t="s">
        <v>132</v>
      </c>
      <c r="B89" s="35">
        <v>59515</v>
      </c>
      <c r="C89" s="51">
        <v>55182</v>
      </c>
    </row>
    <row r="90" spans="1:3" x14ac:dyDescent="0.25">
      <c r="A90" s="47" t="s">
        <v>133</v>
      </c>
      <c r="B90" s="36"/>
      <c r="C90" s="52"/>
    </row>
    <row r="91" spans="1:3" x14ac:dyDescent="0.25">
      <c r="A91" s="45" t="s">
        <v>79</v>
      </c>
      <c r="B91" s="33">
        <v>1149</v>
      </c>
      <c r="C91" s="49">
        <v>1029</v>
      </c>
    </row>
    <row r="92" spans="1:3" x14ac:dyDescent="0.25">
      <c r="A92" s="47" t="s">
        <v>134</v>
      </c>
      <c r="B92" s="34">
        <v>694</v>
      </c>
      <c r="C92" s="50">
        <v>636</v>
      </c>
    </row>
    <row r="93" spans="1:3" x14ac:dyDescent="0.25">
      <c r="A93" s="45" t="s">
        <v>80</v>
      </c>
      <c r="B93" s="38">
        <v>250</v>
      </c>
      <c r="C93" s="54">
        <v>361</v>
      </c>
    </row>
    <row r="94" spans="1:3" x14ac:dyDescent="0.25">
      <c r="A94" s="47" t="s">
        <v>135</v>
      </c>
      <c r="B94" s="34">
        <v>247</v>
      </c>
      <c r="C94" s="50">
        <v>224</v>
      </c>
    </row>
    <row r="95" spans="1:3" x14ac:dyDescent="0.25">
      <c r="A95" s="45" t="s">
        <v>136</v>
      </c>
      <c r="B95" s="38">
        <v>533</v>
      </c>
      <c r="C95" s="54">
        <v>482</v>
      </c>
    </row>
    <row r="96" spans="1:3" x14ac:dyDescent="0.25">
      <c r="A96" s="47" t="s">
        <v>137</v>
      </c>
      <c r="B96" s="37">
        <v>1488</v>
      </c>
      <c r="C96" s="53">
        <v>1129</v>
      </c>
    </row>
    <row r="97" spans="1:3" ht="15.75" thickBot="1" x14ac:dyDescent="0.3">
      <c r="A97" s="45" t="s">
        <v>138</v>
      </c>
      <c r="B97" s="35">
        <v>4361</v>
      </c>
      <c r="C97" s="51">
        <v>3861</v>
      </c>
    </row>
    <row r="98" spans="1:3" x14ac:dyDescent="0.25">
      <c r="A98" s="47" t="s">
        <v>139</v>
      </c>
      <c r="B98" s="37">
        <v>39973</v>
      </c>
      <c r="C98" s="53">
        <v>38424</v>
      </c>
    </row>
    <row r="99" spans="1:3" x14ac:dyDescent="0.25">
      <c r="A99" s="45" t="s">
        <v>140</v>
      </c>
      <c r="B99" s="33">
        <v>14147</v>
      </c>
      <c r="C99" s="49">
        <v>12888</v>
      </c>
    </row>
    <row r="100" spans="1:3" x14ac:dyDescent="0.25">
      <c r="A100" s="47" t="s">
        <v>141</v>
      </c>
      <c r="B100" s="34">
        <v>139</v>
      </c>
      <c r="C100" s="50">
        <v>344</v>
      </c>
    </row>
    <row r="101" spans="1:3" x14ac:dyDescent="0.25">
      <c r="A101" s="45" t="s">
        <v>142</v>
      </c>
      <c r="B101" s="38">
        <v>945</v>
      </c>
      <c r="C101" s="54">
        <v>778</v>
      </c>
    </row>
    <row r="102" spans="1:3" x14ac:dyDescent="0.25">
      <c r="A102" s="47" t="s">
        <v>143</v>
      </c>
      <c r="B102" s="34">
        <v>704</v>
      </c>
      <c r="C102" s="50">
        <v>771</v>
      </c>
    </row>
    <row r="103" spans="1:3" x14ac:dyDescent="0.25">
      <c r="A103" s="45" t="s">
        <v>73</v>
      </c>
      <c r="B103" s="33">
        <v>1038</v>
      </c>
      <c r="C103" s="49">
        <v>1914</v>
      </c>
    </row>
    <row r="104" spans="1:3" x14ac:dyDescent="0.25">
      <c r="A104" s="47" t="s">
        <v>144</v>
      </c>
      <c r="B104" s="36"/>
      <c r="C104" s="52"/>
    </row>
    <row r="105" spans="1:3" ht="30" x14ac:dyDescent="0.25">
      <c r="A105" s="45" t="s">
        <v>145</v>
      </c>
      <c r="B105" s="38">
        <v>0</v>
      </c>
      <c r="C105" s="54">
        <v>0</v>
      </c>
    </row>
    <row r="106" spans="1:3" ht="30" x14ac:dyDescent="0.25">
      <c r="A106" s="47" t="s">
        <v>146</v>
      </c>
      <c r="B106" s="34">
        <v>17</v>
      </c>
      <c r="C106" s="50">
        <v>17</v>
      </c>
    </row>
    <row r="107" spans="1:3" x14ac:dyDescent="0.25">
      <c r="A107" s="45" t="s">
        <v>147</v>
      </c>
      <c r="B107" s="33">
        <v>9641</v>
      </c>
      <c r="C107" s="49">
        <v>9281</v>
      </c>
    </row>
    <row r="108" spans="1:3" x14ac:dyDescent="0.25">
      <c r="A108" s="47" t="s">
        <v>148</v>
      </c>
      <c r="B108" s="37">
        <v>70282</v>
      </c>
      <c r="C108" s="53">
        <v>66834</v>
      </c>
    </row>
    <row r="109" spans="1:3" x14ac:dyDescent="0.25">
      <c r="A109" s="45" t="s">
        <v>149</v>
      </c>
      <c r="B109" s="133">
        <v>-2414</v>
      </c>
      <c r="C109" s="139">
        <v>-2553</v>
      </c>
    </row>
    <row r="110" spans="1:3" ht="30" x14ac:dyDescent="0.25">
      <c r="A110" s="47" t="s">
        <v>150</v>
      </c>
      <c r="B110" s="135">
        <v>-79316</v>
      </c>
      <c r="C110" s="141">
        <v>-77375</v>
      </c>
    </row>
    <row r="111" spans="1:3" ht="15.75" thickBot="1" x14ac:dyDescent="0.3">
      <c r="A111" s="45" t="s">
        <v>151</v>
      </c>
      <c r="B111" s="134">
        <v>-1791</v>
      </c>
      <c r="C111" s="140">
        <v>-3797</v>
      </c>
    </row>
    <row r="112" spans="1:3" ht="15.75" thickBot="1" x14ac:dyDescent="0.3">
      <c r="A112" s="58" t="s">
        <v>152</v>
      </c>
      <c r="B112" s="143">
        <v>59515</v>
      </c>
      <c r="C112" s="144">
        <v>55182</v>
      </c>
    </row>
    <row r="113" ht="15.75" thickTop="1" x14ac:dyDescent="0.25"/>
  </sheetData>
  <mergeCells count="2">
    <mergeCell ref="B71:B72"/>
    <mergeCell ref="C71:C72"/>
  </mergeCells>
  <hyperlinks>
    <hyperlink ref="A3" r:id="rId1" display="javascript:void(0);" xr:uid="{A1A70D64-44DC-49A8-9511-E27CFE623800}"/>
    <hyperlink ref="A4" r:id="rId2" display="javascript:void(0);" xr:uid="{6C602FD6-528D-4508-8BBC-339632B59AB8}"/>
    <hyperlink ref="A5" r:id="rId3" display="javascript:void(0);" xr:uid="{0CD6FD7D-74EB-4B79-B414-5273BAE74686}"/>
    <hyperlink ref="A6" r:id="rId4" display="javascript:void(0);" xr:uid="{40617D68-04B0-4217-84AF-5694A64E5C72}"/>
    <hyperlink ref="A7" r:id="rId5" display="javascript:void(0);" xr:uid="{D02D48A9-3564-48DD-BCD4-1233FE24EF85}"/>
    <hyperlink ref="A8" r:id="rId6" display="javascript:void(0);" xr:uid="{A742A94F-ACB0-4EBA-8E04-F6A7AF56680F}"/>
    <hyperlink ref="A9" r:id="rId7" display="javascript:void(0);" xr:uid="{B2EE7AD6-A866-48F7-BEF0-A51F79774027}"/>
    <hyperlink ref="A10" r:id="rId8" display="javascript:void(0);" xr:uid="{1DC58A8E-741E-4878-992F-0C6057EEB526}"/>
    <hyperlink ref="A11" r:id="rId9" display="javascript:void(0);" xr:uid="{1D4C7B52-2439-407F-A4E8-A9A265D97ED3}"/>
    <hyperlink ref="A12" r:id="rId10" display="javascript:void(0);" xr:uid="{51230170-22C0-4814-A10C-B3E4A866B593}"/>
    <hyperlink ref="A13" r:id="rId11" display="javascript:void(0);" xr:uid="{87050E17-8C9F-4024-B673-D6021416BBFA}"/>
    <hyperlink ref="A14" r:id="rId12" display="javascript:void(0);" xr:uid="{AF7B8F2E-DA4B-4E33-83AD-14BF6917CDB2}"/>
    <hyperlink ref="A15" r:id="rId13" display="javascript:void(0);" xr:uid="{D8B00162-DEDC-479E-ADC3-012AFB2E13AB}"/>
    <hyperlink ref="A16" r:id="rId14" display="javascript:void(0);" xr:uid="{E3A959ED-00F7-4F5D-B737-1213ED247FC4}"/>
    <hyperlink ref="A17" r:id="rId15" display="javascript:void(0);" xr:uid="{E8B9FE42-9DA1-41EA-BB14-66A62F44C49F}"/>
    <hyperlink ref="A18" r:id="rId16" display="javascript:void(0);" xr:uid="{36EF2CF2-6981-49A5-831F-19E1C02762F3}"/>
    <hyperlink ref="A19" r:id="rId17" display="javascript:void(0);" xr:uid="{FCC0A5CD-89EF-4684-B5E8-DC1FF2857BEF}"/>
    <hyperlink ref="A20" r:id="rId18" display="javascript:void(0);" xr:uid="{A12473DF-70BE-4253-8DD2-CDB072246C39}"/>
    <hyperlink ref="A21" r:id="rId19" display="javascript:void(0);" xr:uid="{4C8A3E98-AE35-44B6-B1BD-8DDBA501BEEC}"/>
    <hyperlink ref="A22" r:id="rId20" display="javascript:void(0);" xr:uid="{E9E3BFF8-F2D1-4C35-9683-C57E75C72D4E}"/>
    <hyperlink ref="A23" r:id="rId21" display="javascript:void(0);" xr:uid="{C8DC420C-4E52-403C-A42B-214C5B4A98C9}"/>
    <hyperlink ref="A24" r:id="rId22" display="javascript:void(0);" xr:uid="{16B2A52A-F8D1-4A21-8368-41315B97D6A6}"/>
    <hyperlink ref="A25" r:id="rId23" display="javascript:void(0);" xr:uid="{443074D1-139E-4BEA-A2A6-A66A10188981}"/>
    <hyperlink ref="A26" r:id="rId24" display="javascript:void(0);" xr:uid="{62531B52-5A2C-42BB-B039-8025A97AD15A}"/>
    <hyperlink ref="A27" r:id="rId25" display="javascript:void(0);" xr:uid="{949A0515-F261-4A8C-AF51-52CEC2DA6E16}"/>
    <hyperlink ref="A28" r:id="rId26" display="javascript:void(0);" xr:uid="{3DF2A609-B812-453A-87C6-F478142F1ACB}"/>
    <hyperlink ref="A32" r:id="rId27" display="javascript:void(0);" xr:uid="{AE2BCF18-387D-46D4-AB06-2429BE76631C}"/>
    <hyperlink ref="A33" r:id="rId28" display="javascript:void(0);" xr:uid="{95D9F080-1DB5-448B-8F38-0C8614F26B69}"/>
    <hyperlink ref="A34" r:id="rId29" display="javascript:void(0);" xr:uid="{7A9D1AEA-C417-4FDF-A0D2-A089BE754205}"/>
    <hyperlink ref="A35" r:id="rId30" display="javascript:void(0);" xr:uid="{D6E2C463-8F27-471A-A4C8-F6995217FB06}"/>
    <hyperlink ref="A36" r:id="rId31" display="javascript:void(0);" xr:uid="{E01854C1-6C2E-4134-8EDC-E5F523817CC1}"/>
    <hyperlink ref="A37" r:id="rId32" display="javascript:void(0);" xr:uid="{BAD708A5-7968-4ED7-9CCE-449E9A338DFF}"/>
    <hyperlink ref="A38" r:id="rId33" display="javascript:void(0);" xr:uid="{AF341977-553F-49FC-9E2A-A4C4E92A01A1}"/>
    <hyperlink ref="A39" r:id="rId34" display="javascript:void(0);" xr:uid="{6498BE79-2431-4D5E-8FEA-1C3307656FA9}"/>
    <hyperlink ref="A40" r:id="rId35" display="javascript:void(0);" xr:uid="{34A5DC0C-2AE5-4EEB-95B7-FCB7C0BFE531}"/>
    <hyperlink ref="A41" r:id="rId36" display="javascript:void(0);" xr:uid="{741627EA-A6E1-4140-904B-4143596F39FF}"/>
    <hyperlink ref="A42" r:id="rId37" display="javascript:void(0);" xr:uid="{21F45203-D680-456F-8BB4-D5DF8F58FFBB}"/>
    <hyperlink ref="A43" r:id="rId38" display="javascript:void(0);" xr:uid="{E08ECE5B-3D58-43EB-8F9F-F4A6DCAD268F}"/>
    <hyperlink ref="A44" r:id="rId39" display="javascript:void(0);" xr:uid="{A564E48C-1E94-496D-8321-98278B9073BC}"/>
    <hyperlink ref="A45" r:id="rId40" display="javascript:void(0);" xr:uid="{EE59AD1E-46F0-4C13-B218-A8C7133C0A67}"/>
    <hyperlink ref="A46" r:id="rId41" display="javascript:void(0);" xr:uid="{71D1B22B-829F-4381-9F69-60AFA53D2F32}"/>
    <hyperlink ref="A47" r:id="rId42" display="javascript:void(0);" xr:uid="{66E7F915-7629-4527-B5E2-C1B6251ECA47}"/>
    <hyperlink ref="A48" r:id="rId43" display="javascript:void(0);" xr:uid="{A7F72F3A-35EF-405D-B549-0FECD3AE7276}"/>
    <hyperlink ref="A49" r:id="rId44" display="javascript:void(0);" xr:uid="{665D27F0-964B-4943-8EEE-74B54E655FBC}"/>
    <hyperlink ref="A50" r:id="rId45" display="javascript:void(0);" xr:uid="{6D17FFE8-E15F-44F1-8E54-013C85E68758}"/>
    <hyperlink ref="A51" r:id="rId46" display="javascript:void(0);" xr:uid="{8C3AAAB8-B535-44AF-B212-1956A31BC1CD}"/>
    <hyperlink ref="A52" r:id="rId47" display="javascript:void(0);" xr:uid="{7827027C-205D-4C98-AC45-532BA22CA1FE}"/>
    <hyperlink ref="A53" r:id="rId48" display="javascript:void(0);" xr:uid="{1A9AA2E4-D801-4477-B9F3-B25029F4E574}"/>
    <hyperlink ref="A54" r:id="rId49" display="javascript:void(0);" xr:uid="{676ACCA6-C16A-425C-8FBA-A0CAAC0C25E1}"/>
    <hyperlink ref="A55" r:id="rId50" display="javascript:void(0);" xr:uid="{7B11DEAA-23B8-4353-9B97-418AA288A4BB}"/>
    <hyperlink ref="A56" r:id="rId51" display="javascript:void(0);" xr:uid="{A79DA9DA-BADC-42B5-BC4B-0A5871551A94}"/>
    <hyperlink ref="A57" r:id="rId52" display="javascript:void(0);" xr:uid="{F3857F9D-9486-4A08-A4EF-EB14EE6FEBC3}"/>
    <hyperlink ref="A58" r:id="rId53" display="javascript:void(0);" xr:uid="{441005F8-3BC1-4E3E-8A4B-6062249C7BF7}"/>
    <hyperlink ref="A59" r:id="rId54" display="javascript:void(0);" xr:uid="{F62B86F3-192D-49C0-9115-42EE0B6F5D7D}"/>
    <hyperlink ref="A60" r:id="rId55" display="javascript:void(0);" xr:uid="{6C8A3E20-F08D-4A75-8398-CAA9084DFDC0}"/>
    <hyperlink ref="A61" r:id="rId56" display="javascript:void(0);" xr:uid="{0A7EF964-4AF9-4DA9-9017-B44AAD1574B5}"/>
    <hyperlink ref="A62" r:id="rId57" display="javascript:void(0);" xr:uid="{0D770676-586A-4C9E-80FA-FB30BF03B0D4}"/>
    <hyperlink ref="A63" r:id="rId58" display="javascript:void(0);" xr:uid="{281F29DF-69B5-45D6-A5B6-F5D4539C6655}"/>
    <hyperlink ref="A64" r:id="rId59" display="javascript:void(0);" xr:uid="{01BDD0D8-29BF-4A92-8145-CEED946FA9BA}"/>
    <hyperlink ref="A65" r:id="rId60" display="javascript:void(0);" xr:uid="{EEE675A9-BC05-4340-8363-82D14035BE5B}"/>
    <hyperlink ref="A66" r:id="rId61" display="javascript:void(0);" xr:uid="{20405910-79B8-4207-B273-24F50B628683}"/>
    <hyperlink ref="A67" r:id="rId62" display="javascript:void(0);" xr:uid="{B94361A1-7095-41A9-9B9B-8B7889B1DE2D}"/>
    <hyperlink ref="A68" r:id="rId63" display="javascript:void(0);" xr:uid="{A4D08A53-7B9D-4526-BA10-46E6D05929F1}"/>
    <hyperlink ref="A69" r:id="rId64" display="javascript:void(0);" xr:uid="{B49B7246-8E85-42FB-A1D7-0C53239A89B9}"/>
    <hyperlink ref="A73" r:id="rId65" display="javascript:void(0);" xr:uid="{C9CC8FC8-EFF1-46A2-87B7-F88EE03EDDE0}"/>
    <hyperlink ref="A74" r:id="rId66" display="javascript:void(0);" xr:uid="{71D58BD6-4011-4D09-8B01-FEA64279930B}"/>
    <hyperlink ref="A75" r:id="rId67" display="javascript:void(0);" xr:uid="{7A50F9EE-DBFF-4EE8-823B-0BA967F3B9AA}"/>
    <hyperlink ref="A76" r:id="rId68" display="javascript:void(0);" xr:uid="{077FB270-D756-4111-945B-EE2EE3DC736D}"/>
    <hyperlink ref="A77" r:id="rId69" display="javascript:void(0);" xr:uid="{DD9A4497-6C11-4E71-9FDA-92D624CC1C0E}"/>
    <hyperlink ref="A78" r:id="rId70" display="javascript:void(0);" xr:uid="{E7A49FD8-D2DC-4F5C-95AC-0D4888863661}"/>
    <hyperlink ref="A79" r:id="rId71" display="javascript:void(0);" xr:uid="{66B3FDF2-231C-4185-8FD9-4E94A656A397}"/>
    <hyperlink ref="A80" r:id="rId72" display="javascript:void(0);" xr:uid="{26CF47B1-6140-4516-BD19-E19BF5DF1C2C}"/>
    <hyperlink ref="A81" r:id="rId73" display="javascript:void(0);" xr:uid="{5635B9AC-F774-41ED-B058-94B66337600F}"/>
    <hyperlink ref="A82" r:id="rId74" display="javascript:void(0);" xr:uid="{F4A66AD5-5B5B-402A-BA7A-B3EBD6DD49D9}"/>
    <hyperlink ref="A83" r:id="rId75" display="javascript:void(0);" xr:uid="{0D0444BB-BECC-4450-B375-A9FD40A76F43}"/>
    <hyperlink ref="A84" r:id="rId76" display="javascript:void(0);" xr:uid="{3922FF47-C312-47E3-8FF7-FC9F4575FEB3}"/>
    <hyperlink ref="A85" r:id="rId77" display="javascript:void(0);" xr:uid="{6146ECC2-767D-4B9F-BF5B-F0846661B323}"/>
    <hyperlink ref="A86" r:id="rId78" display="javascript:void(0);" xr:uid="{CB30432F-4758-4395-A20D-8990D79F0200}"/>
    <hyperlink ref="A87" r:id="rId79" display="javascript:void(0);" xr:uid="{19F3F656-58D3-4DFE-AAA4-1F3FB6CE94B2}"/>
    <hyperlink ref="A88" r:id="rId80" display="javascript:void(0);" xr:uid="{6F7FD7C7-77EB-4BF2-B136-1B7925C241DF}"/>
    <hyperlink ref="A89" r:id="rId81" display="javascript:void(0);" xr:uid="{9FE5DD77-C0EA-4CAB-AC85-69D8E7DC4AC1}"/>
    <hyperlink ref="A90" r:id="rId82" display="javascript:void(0);" xr:uid="{096223F6-B33A-426A-BF1B-23BF3582E9EA}"/>
    <hyperlink ref="A91" r:id="rId83" display="javascript:void(0);" xr:uid="{66153DAE-34AD-42A4-9138-A9B6831AD51D}"/>
    <hyperlink ref="A92" r:id="rId84" display="javascript:void(0);" xr:uid="{C83A8EFA-0541-4BC9-93C5-FD269D91339A}"/>
    <hyperlink ref="A93" r:id="rId85" display="javascript:void(0);" xr:uid="{A1A3CAD3-92EF-41EC-8296-1096EA710A25}"/>
    <hyperlink ref="A94" r:id="rId86" display="javascript:void(0);" xr:uid="{B6AE6FF1-B6EB-47E0-A1E2-7B02089FA517}"/>
    <hyperlink ref="A95" r:id="rId87" display="javascript:void(0);" xr:uid="{F2924B5E-FCDD-4E4F-A62A-C17336C879C7}"/>
    <hyperlink ref="A96" r:id="rId88" display="javascript:void(0);" xr:uid="{F4D20B04-D589-4D81-ABF3-0563AC9C3151}"/>
    <hyperlink ref="A97" r:id="rId89" display="javascript:void(0);" xr:uid="{A76D671B-41A6-44D5-BE9C-39B9739640FA}"/>
    <hyperlink ref="A98" r:id="rId90" display="javascript:void(0);" xr:uid="{1B9618A9-BAD8-4F18-89CC-2C9EDBC4A3B9}"/>
    <hyperlink ref="A99" r:id="rId91" display="javascript:void(0);" xr:uid="{0F38CDEC-D45B-4F8C-AF12-AF1D74AA1710}"/>
    <hyperlink ref="A100" r:id="rId92" display="javascript:void(0);" xr:uid="{F1A44CBE-4343-4170-B4E5-EAF32E9A23CA}"/>
    <hyperlink ref="A101" r:id="rId93" display="javascript:void(0);" xr:uid="{6E00E14C-4305-481E-84B1-05D8439A6193}"/>
    <hyperlink ref="A102" r:id="rId94" display="javascript:void(0);" xr:uid="{3B6463EC-5906-46E4-9D9D-4B97A0967FC9}"/>
    <hyperlink ref="A103" r:id="rId95" display="javascript:void(0);" xr:uid="{1446CD83-974B-4CA3-BB01-AEDD9BF36138}"/>
    <hyperlink ref="A104" r:id="rId96" display="javascript:void(0);" xr:uid="{225A6066-74C4-4E44-AB8C-4FC377F6B3F8}"/>
    <hyperlink ref="A105" r:id="rId97" display="javascript:void(0);" xr:uid="{66B07928-481C-4B46-9E4C-CBE10BA22148}"/>
    <hyperlink ref="A106" r:id="rId98" display="javascript:void(0);" xr:uid="{B5226550-CADB-46CB-85A9-5BF892D19434}"/>
    <hyperlink ref="A107" r:id="rId99" display="javascript:void(0);" xr:uid="{1DB8DF7C-0A4A-42F4-8DAB-58195010BC64}"/>
    <hyperlink ref="A108" r:id="rId100" display="javascript:void(0);" xr:uid="{56470178-00B0-405D-9941-DC661C61E7F2}"/>
    <hyperlink ref="A109" r:id="rId101" display="javascript:void(0);" xr:uid="{B2016E0E-BCC5-4DD8-B61A-55DC6F5596A7}"/>
    <hyperlink ref="A110" r:id="rId102" display="javascript:void(0);" xr:uid="{F92D6F85-C566-40EE-8274-BE31700916AC}"/>
    <hyperlink ref="A111" r:id="rId103" display="javascript:void(0);" xr:uid="{5D838DE9-9F7E-497E-9807-221B9BC01B49}"/>
    <hyperlink ref="A112" r:id="rId104" display="javascript:void(0);" xr:uid="{8ABA117B-1853-4B05-884C-414974E3CBC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EDGE</dc:creator>
  <cp:lastModifiedBy>azeez lawal</cp:lastModifiedBy>
  <cp:lastPrinted>2026-09-17T21:11:26Z</cp:lastPrinted>
  <dcterms:created xsi:type="dcterms:W3CDTF">2026-09-17T08:55:22Z</dcterms:created>
  <dcterms:modified xsi:type="dcterms:W3CDTF">2026-09-18T07:58:23Z</dcterms:modified>
</cp:coreProperties>
</file>