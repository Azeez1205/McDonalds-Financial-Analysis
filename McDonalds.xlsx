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2" sheetId="1" state="visible" r:id="rId3"/>
    <sheet name="Income Statement" sheetId="2" state="visible" r:id="rId4"/>
    <sheet name="Balance sheet" sheetId="3" state="visible" r:id="rId5"/>
    <sheet name="Cash flows" sheetId="4" state="visible" r:id="rId6"/>
    <sheet name="DC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8" authorId="0">
      <text>
        <r>
          <rPr>
            <sz val="10"/>
            <rFont val="Arial"/>
            <family val="2"/>
          </rPr>
          <t xml:space="preserve">MCD closing share price, Sept 10, 2026 (Yahoo Finance). Hardcoded input — update for current market price.</t>
        </r>
      </text>
    </comment>
    <comment ref="D47" authorId="0">
      <text>
        <r>
          <rPr>
            <sz val="10"/>
            <rFont val="Arial"/>
            <family val="2"/>
          </rPr>
          <t xml:space="preserve">Book value of total debt used as a proxy for market value of debt (standard simplification, since debt typically trades close to par).</t>
        </r>
      </text>
    </comment>
    <comment ref="D48" authorId="0">
      <text>
        <r>
          <rPr>
            <sz val="10"/>
            <rFont val="Arial"/>
            <family val="2"/>
          </rPr>
          <t xml:space="preserve">Market value of equity = share price (C48) x diluted shares (I50). Switched from book equity because MCD has negative book equity, which breaks the WACC weighting (a negative weight applied to a positive cost of equity distorts WACC).</t>
        </r>
      </text>
    </comment>
  </commentList>
</comments>
</file>

<file path=xl/sharedStrings.xml><?xml version="1.0" encoding="utf-8"?>
<sst xmlns="http://schemas.openxmlformats.org/spreadsheetml/2006/main" count="278" uniqueCount="200">
  <si>
    <t xml:space="preserve">Consolidated Statement of Income - USD ($)</t>
  </si>
  <si>
    <t xml:space="preserve">12 Months Ended</t>
  </si>
  <si>
    <t xml:space="preserve">$ in Millions</t>
  </si>
  <si>
    <t xml:space="preserve">Dec. 31, 2023</t>
  </si>
  <si>
    <t xml:space="preserve">Dec. 31, 2024</t>
  </si>
  <si>
    <t xml:space="preserve">Dec. 31, 2025</t>
  </si>
  <si>
    <t xml:space="preserve">REVENUES</t>
  </si>
  <si>
    <t xml:space="preserve">Revenues from franchised restaurants</t>
  </si>
  <si>
    <t xml:space="preserve">Sales by Company-owned and operated restaurants</t>
  </si>
  <si>
    <t xml:space="preserve">Other revenues</t>
  </si>
  <si>
    <t xml:space="preserve">Total revenues</t>
  </si>
  <si>
    <t xml:space="preserve">OPERATING COSTS AND EXPENSES</t>
  </si>
  <si>
    <t xml:space="preserve">Franchised restaurants-occupancy expenses</t>
  </si>
  <si>
    <t xml:space="preserve">Food &amp; paper</t>
  </si>
  <si>
    <t xml:space="preserve">Payroll &amp; employee benefits</t>
  </si>
  <si>
    <t xml:space="preserve">Occupancy &amp; other operating expenses</t>
  </si>
  <si>
    <t xml:space="preserve">Other restaurant expenses</t>
  </si>
  <si>
    <t xml:space="preserve">Depreciation and amortization</t>
  </si>
  <si>
    <t xml:space="preserve">Other</t>
  </si>
  <si>
    <t xml:space="preserve">Other operating (income) expense, net</t>
  </si>
  <si>
    <t xml:space="preserve">Total operating costs and expenses</t>
  </si>
  <si>
    <t xml:space="preserve">Operating income</t>
  </si>
  <si>
    <t xml:space="preserve">Interest expense-net of capitalized interest of $29, $22 and $14</t>
  </si>
  <si>
    <t xml:space="preserve">Nonoperating (income) expense, net</t>
  </si>
  <si>
    <t xml:space="preserve">Income before provision for income taxes</t>
  </si>
  <si>
    <t xml:space="preserve">Provision for income taxes</t>
  </si>
  <si>
    <t xml:space="preserve">Net income</t>
  </si>
  <si>
    <t xml:space="preserve">Earnings per common share–basic</t>
  </si>
  <si>
    <t xml:space="preserve">Earnings per common share–diluted</t>
  </si>
  <si>
    <t xml:space="preserve">Dividends declared per common share</t>
  </si>
  <si>
    <t xml:space="preserve">Weighted-average shares outstanding–basic</t>
  </si>
  <si>
    <t xml:space="preserve">Weighted-average shares outstanding–diluted</t>
  </si>
  <si>
    <t xml:space="preserve">Consolidated Statement of Cash Flows - USD ($)</t>
  </si>
  <si>
    <t xml:space="preserve">Operating activities</t>
  </si>
  <si>
    <t xml:space="preserve">Charges and credits:</t>
  </si>
  <si>
    <t xml:space="preserve">Deferred income taxes</t>
  </si>
  <si>
    <t xml:space="preserve">Share-based compensation expense</t>
  </si>
  <si>
    <t xml:space="preserve">Net (gain) loss on sale of restaurant and other businesses</t>
  </si>
  <si>
    <t xml:space="preserve">Changes in working capital items:</t>
  </si>
  <si>
    <t xml:space="preserve">Accounts receivable</t>
  </si>
  <si>
    <t xml:space="preserve">Inventories, prepaid expenses and other current assets</t>
  </si>
  <si>
    <t xml:space="preserve">Accounts payable</t>
  </si>
  <si>
    <t xml:space="preserve">Income taxes</t>
  </si>
  <si>
    <t xml:space="preserve">Other accrued liabilities</t>
  </si>
  <si>
    <t xml:space="preserve">Cash provided by operations</t>
  </si>
  <si>
    <t xml:space="preserve">Investing activities</t>
  </si>
  <si>
    <t xml:space="preserve">Capital expenditures</t>
  </si>
  <si>
    <t xml:space="preserve">Purchases of restaurant businesses</t>
  </si>
  <si>
    <t xml:space="preserve">Payments to Acquire Equity Method Investments</t>
  </si>
  <si>
    <t xml:space="preserve">Sales of restaurant and other businesses</t>
  </si>
  <si>
    <t xml:space="preserve">Sales of property</t>
  </si>
  <si>
    <t xml:space="preserve">Cash used for investing activities</t>
  </si>
  <si>
    <t xml:space="preserve">Financing activities</t>
  </si>
  <si>
    <t xml:space="preserve">Net short-term borrowings</t>
  </si>
  <si>
    <t xml:space="preserve">Long-term financing issuances</t>
  </si>
  <si>
    <t xml:space="preserve">Long-term financing repayments</t>
  </si>
  <si>
    <t xml:space="preserve">Treasury stock purchases</t>
  </si>
  <si>
    <t xml:space="preserve">Common stock dividends</t>
  </si>
  <si>
    <t xml:space="preserve">Proceeds from stock option exercises</t>
  </si>
  <si>
    <t xml:space="preserve">Cash used for financing activities</t>
  </si>
  <si>
    <t xml:space="preserve">Effect of exchange rates on cash and equivalents</t>
  </si>
  <si>
    <t xml:space="preserve">Cash and equivalents increase (decrease)</t>
  </si>
  <si>
    <t xml:space="preserve">Cash and equivalents at beginning of year</t>
  </si>
  <si>
    <t xml:space="preserve">Cash and equivalents at end of year</t>
  </si>
  <si>
    <t xml:space="preserve">Supplemental cash flow disclosures</t>
  </si>
  <si>
    <t xml:space="preserve">Interest Paid</t>
  </si>
  <si>
    <t xml:space="preserve">Consolidated Balance Sheet - USD ($)</t>
  </si>
  <si>
    <t xml:space="preserve">Current assets</t>
  </si>
  <si>
    <t xml:space="preserve">Cash and equivalents</t>
  </si>
  <si>
    <t xml:space="preserve">Accounts and notes receivable</t>
  </si>
  <si>
    <t xml:space="preserve">Inventories, at cost, not in excess of market</t>
  </si>
  <si>
    <t xml:space="preserve">Prepaid expenses and other current assets</t>
  </si>
  <si>
    <t xml:space="preserve">Total current assets</t>
  </si>
  <si>
    <t xml:space="preserve">Other assets</t>
  </si>
  <si>
    <t xml:space="preserve">Investments in and advances to affiliates</t>
  </si>
  <si>
    <t xml:space="preserve">Goodwill</t>
  </si>
  <si>
    <t xml:space="preserve">Miscellaneous</t>
  </si>
  <si>
    <t xml:space="preserve">Total other assets</t>
  </si>
  <si>
    <t xml:space="preserve">Lease right-of use asset, net</t>
  </si>
  <si>
    <t xml:space="preserve">Property and equipment</t>
  </si>
  <si>
    <t xml:space="preserve">Property and equipment, at cost</t>
  </si>
  <si>
    <t xml:space="preserve">Accumulated depreciation and amortization</t>
  </si>
  <si>
    <t xml:space="preserve">Net property and equipment</t>
  </si>
  <si>
    <t xml:space="preserve">Total assets</t>
  </si>
  <si>
    <t xml:space="preserve">Current liabilities</t>
  </si>
  <si>
    <t xml:space="preserve">Current lease liability</t>
  </si>
  <si>
    <t xml:space="preserve">Other taxes</t>
  </si>
  <si>
    <t xml:space="preserve">Accrued interest</t>
  </si>
  <si>
    <t xml:space="preserve">Accrued payroll and other liabilities</t>
  </si>
  <si>
    <t xml:space="preserve">Total current liabilities</t>
  </si>
  <si>
    <t xml:space="preserve">Long-term debt</t>
  </si>
  <si>
    <t xml:space="preserve">Long-term lease liability (noncurrent), net</t>
  </si>
  <si>
    <t xml:space="preserve">Long-term income taxes</t>
  </si>
  <si>
    <t xml:space="preserve">Deferred revenues - initial franchise fees</t>
  </si>
  <si>
    <t xml:space="preserve">Other long-term liabilities</t>
  </si>
  <si>
    <t xml:space="preserve">Shareholders' equity (deficit)</t>
  </si>
  <si>
    <t xml:space="preserve">Preferred stock, no par value; authorized – 165.0 million shares; issued – none</t>
  </si>
  <si>
    <t xml:space="preserve">Common stock, $.01 par value; authorized – 3.5 billion shares; issued – 1,660.6 million shares</t>
  </si>
  <si>
    <t xml:space="preserve">Additional paid-in capital</t>
  </si>
  <si>
    <t xml:space="preserve">Retained earnings</t>
  </si>
  <si>
    <t xml:space="preserve">Accumulated other comprehensive income (loss)</t>
  </si>
  <si>
    <t xml:space="preserve">Common stock in treasury, at cost; 950.0 and 945.4 million shares</t>
  </si>
  <si>
    <t xml:space="preserve">Total shareholders' equity (deficit)</t>
  </si>
  <si>
    <t xml:space="preserve">Total liabilities and shareholders' equity (deficit)</t>
  </si>
  <si>
    <t xml:space="preserve">McDonalds Corp</t>
  </si>
  <si>
    <t xml:space="preserve">MCD </t>
  </si>
  <si>
    <t xml:space="preserve">3 Statement Financial Model</t>
  </si>
  <si>
    <t xml:space="preserve">Statement of Profit or Loss</t>
  </si>
  <si>
    <t xml:space="preserve">Actuals</t>
  </si>
  <si>
    <t xml:space="preserve">Projections</t>
  </si>
  <si>
    <t xml:space="preserve">Amounts in millions</t>
  </si>
  <si>
    <t xml:space="preserve">Units</t>
  </si>
  <si>
    <t xml:space="preserve">$</t>
  </si>
  <si>
    <t xml:space="preserve">Revenue</t>
  </si>
  <si>
    <t xml:space="preserve">Cost of Sales</t>
  </si>
  <si>
    <t xml:space="preserve">Gross Profit</t>
  </si>
  <si>
    <t xml:space="preserve">Operating Expenses</t>
  </si>
  <si>
    <t xml:space="preserve">Other expenses</t>
  </si>
  <si>
    <t xml:space="preserve">Operating Income</t>
  </si>
  <si>
    <t xml:space="preserve">Interest Income (Expense)</t>
  </si>
  <si>
    <t xml:space="preserve">Other Income (Expense)</t>
  </si>
  <si>
    <t xml:space="preserve">-</t>
  </si>
  <si>
    <t xml:space="preserve">Pretax Income</t>
  </si>
  <si>
    <t xml:space="preserve">Tax Provision1 (Income)</t>
  </si>
  <si>
    <t xml:space="preserve">Net Income</t>
  </si>
  <si>
    <t xml:space="preserve">EBIT</t>
  </si>
  <si>
    <t xml:space="preserve">Depreciation &amp; Amortization1</t>
  </si>
  <si>
    <t xml:space="preserve">EBITDA</t>
  </si>
  <si>
    <t xml:space="preserve">Income Statement Assumptions</t>
  </si>
  <si>
    <t xml:space="preserve">Revenue Growth</t>
  </si>
  <si>
    <t xml:space="preserve">%</t>
  </si>
  <si>
    <t xml:space="preserve">Cost of Sales % Revenues</t>
  </si>
  <si>
    <t xml:space="preserve">Operating Expenses(% of Revenue)</t>
  </si>
  <si>
    <t xml:space="preserve">D&amp;A as a % of Revenue</t>
  </si>
  <si>
    <t xml:space="preserve">Other Expenses as a % of Revenue</t>
  </si>
  <si>
    <t xml:space="preserve">Interest Income(% of income)</t>
  </si>
  <si>
    <t xml:space="preserve">Taxes % of Profit Before Tax</t>
  </si>
  <si>
    <t xml:space="preserve">Source:ValueInvesting.io</t>
  </si>
  <si>
    <t xml:space="preserve">Statement  of Financial position</t>
  </si>
  <si>
    <t xml:space="preserve">$m</t>
  </si>
  <si>
    <t xml:space="preserve">Assets</t>
  </si>
  <si>
    <t xml:space="preserve">Inventories &amp; other</t>
  </si>
  <si>
    <t xml:space="preserve">Net PPE, Goodwill &amp; Intangibles </t>
  </si>
  <si>
    <t xml:space="preserve">Op, lease assets</t>
  </si>
  <si>
    <t xml:space="preserve">Liabilities &amp; Equity</t>
  </si>
  <si>
    <t xml:space="preserve">Accrued liabilities</t>
  </si>
  <si>
    <t xml:space="preserve">Total Debt</t>
  </si>
  <si>
    <t xml:space="preserve">Op lease liabilities</t>
  </si>
  <si>
    <t xml:space="preserve">Other liabilities</t>
  </si>
  <si>
    <t xml:space="preserve">Total Liabilities</t>
  </si>
  <si>
    <t xml:space="preserve">Common shareholders equity</t>
  </si>
  <si>
    <t xml:space="preserve">Statement  of Cash flows</t>
  </si>
  <si>
    <t xml:space="preserve">Operating Cash flow</t>
  </si>
  <si>
    <t xml:space="preserve">Depreciation &amp; Amortization</t>
  </si>
  <si>
    <t xml:space="preserve">Other Items</t>
  </si>
  <si>
    <t xml:space="preserve">Investing Cash Flow</t>
  </si>
  <si>
    <t xml:space="preserve">Acquisitions and other</t>
  </si>
  <si>
    <t xml:space="preserve">Long-term financing issuances and repayments</t>
  </si>
  <si>
    <t xml:space="preserve">Proceeds and other</t>
  </si>
  <si>
    <t xml:space="preserve">Discounted Cash flow Analysis</t>
  </si>
  <si>
    <t xml:space="preserve">DCF Analysis</t>
  </si>
  <si>
    <t xml:space="preserve">% of Revenue growth</t>
  </si>
  <si>
    <t xml:space="preserve">EBIT margin</t>
  </si>
  <si>
    <t xml:space="preserve">Taxes</t>
  </si>
  <si>
    <t xml:space="preserve">% of EBIT</t>
  </si>
  <si>
    <t xml:space="preserve">EBIAT</t>
  </si>
  <si>
    <t xml:space="preserve">% of Revenue</t>
  </si>
  <si>
    <t xml:space="preserve">Capital Expenditure</t>
  </si>
  <si>
    <t xml:space="preserve">Net Working Capital</t>
  </si>
  <si>
    <t xml:space="preserve">Changes in Net Working Capital</t>
  </si>
  <si>
    <t xml:space="preserve">Unlevered Free Cash Flow</t>
  </si>
  <si>
    <t xml:space="preserve">Discounting Factor</t>
  </si>
  <si>
    <t xml:space="preserve">Present value of  Free Cash Flow</t>
  </si>
  <si>
    <t xml:space="preserve">WACC</t>
  </si>
  <si>
    <t xml:space="preserve">Terminal Value</t>
  </si>
  <si>
    <t xml:space="preserve">Weighted Average Cost of Capital</t>
  </si>
  <si>
    <t xml:space="preserve">Terminal Value - Perpetuity Growth</t>
  </si>
  <si>
    <t xml:space="preserve">Risk free rate (Rf)</t>
  </si>
  <si>
    <t xml:space="preserve">Perpetuity growth rate</t>
  </si>
  <si>
    <t xml:space="preserve">Equity Beta</t>
  </si>
  <si>
    <t xml:space="preserve">Equity risk premium (Rm - Rf)</t>
  </si>
  <si>
    <t xml:space="preserve">PV of Terminal value</t>
  </si>
  <si>
    <t xml:space="preserve">Cost of Equity (Ke)</t>
  </si>
  <si>
    <t xml:space="preserve">Cost of debt</t>
  </si>
  <si>
    <t xml:space="preserve">Implied value per share</t>
  </si>
  <si>
    <t xml:space="preserve">Tax rate</t>
  </si>
  <si>
    <t xml:space="preserve">DCF Value - Perpetuity Growth</t>
  </si>
  <si>
    <t xml:space="preserve">After-tax Cost of Debt (Kdt)</t>
  </si>
  <si>
    <t xml:space="preserve">PV of Terminal Value</t>
  </si>
  <si>
    <t xml:space="preserve">Percentage of Capital</t>
  </si>
  <si>
    <t xml:space="preserve">Price ($)</t>
  </si>
  <si>
    <t xml:space="preserve">Implied Enterprise Value</t>
  </si>
  <si>
    <t xml:space="preserve">Debt</t>
  </si>
  <si>
    <t xml:space="preserve">Less: Debt</t>
  </si>
  <si>
    <t xml:space="preserve">Equity</t>
  </si>
  <si>
    <t xml:space="preserve">Add: Cash</t>
  </si>
  <si>
    <t xml:space="preserve">Total capital</t>
  </si>
  <si>
    <t xml:space="preserve">Implied Equity Value</t>
  </si>
  <si>
    <t xml:space="preserve">Diluted shares</t>
  </si>
  <si>
    <t xml:space="preserve">Implied Value Per Share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</si>
</sst>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\$#,##0.00_);[RED]&quot;($&quot;#,##0.00\)"/>
    <numFmt numFmtId="166" formatCode="#,##0.00"/>
    <numFmt numFmtId="167" formatCode="&quot;FY &quot;yy\A"/>
    <numFmt numFmtId="168" formatCode="&quot;FY &quot;yy\E"/>
    <numFmt numFmtId="169" formatCode="_(\$* #,##0_);_(\$* \(#,##0\);_(\$* \-_);_(@_)"/>
    <numFmt numFmtId="170" formatCode="_(* #,##0_);_(* \(#,##0\);_(* \-_);_(@_)"/>
    <numFmt numFmtId="171" formatCode="_(* #,##0.00_);_(* \(#,##0.00\);_(* \-_);_(@_)"/>
    <numFmt numFmtId="172" formatCode="0.00"/>
    <numFmt numFmtId="173" formatCode="#,##0.00%_);#,##0.00%"/>
    <numFmt numFmtId="174" formatCode="0.00%"/>
    <numFmt numFmtId="175" formatCode="&quot;FY&quot;0\A"/>
    <numFmt numFmtId="176" formatCode="&quot;FY&quot;0\E"/>
    <numFmt numFmtId="177" formatCode="0.000"/>
    <numFmt numFmtId="178" formatCode="_(* #,##0_);_(* \(#,##0\);_(* &quot;– &quot;?;_(@_)"/>
    <numFmt numFmtId="179" formatCode="0%"/>
    <numFmt numFmtId="180" formatCode="_(* #,##0.00_);_(* \(#,##0.00\);_(* \-??_);_(@_)"/>
    <numFmt numFmtId="181" formatCode="#,##0.00%_);\(#,##0.00%\)"/>
    <numFmt numFmtId="182" formatCode="_(* #,##0.00_);_(* \(#,##0.00\);_(* &quot;– &quot;?;_(@_)"/>
    <numFmt numFmtId="183" formatCode="_(* #,##0_);_(* \(#,##0\);_(* \-??_);_(@_)"/>
    <numFmt numFmtId="184" formatCode="\$#,##0.00"/>
    <numFmt numFmtId="185" formatCode="0.0%"/>
    <numFmt numFmtId="186" formatCode="#,##0"/>
    <numFmt numFmtId="187" formatCode="#,##0_);\(#,##0\)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8"/>
      <color rgb="FF000000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sz val="8"/>
      <color rgb="FF000000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i val="true"/>
      <sz val="9"/>
      <name val="Calibri"/>
      <family val="2"/>
      <charset val="1"/>
    </font>
    <font>
      <sz val="11"/>
      <color theme="0" tint="-0.35"/>
      <name val="Calibri"/>
      <family val="2"/>
      <charset val="1"/>
    </font>
    <font>
      <sz val="11"/>
      <color theme="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theme="0" tint="-0.5"/>
      <name val="Calibri"/>
      <family val="2"/>
      <charset val="1"/>
    </font>
    <font>
      <i val="true"/>
      <sz val="8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i val="true"/>
      <sz val="10"/>
      <name val="Calibri"/>
      <family val="0"/>
      <charset val="1"/>
    </font>
    <font>
      <sz val="11"/>
      <color rgb="FF0000FF"/>
      <name val="Calibri"/>
      <family val="0"/>
      <charset val="1"/>
    </font>
    <font>
      <sz val="8"/>
      <name val="Calibri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ACCFF"/>
        <bgColor rgb="FFCCCCFF"/>
      </patternFill>
    </fill>
    <fill>
      <patternFill patternType="solid">
        <fgColor rgb="FFDDEEFF"/>
        <bgColor rgb="FFE7E6E6"/>
      </patternFill>
    </fill>
    <fill>
      <patternFill patternType="solid">
        <fgColor rgb="FFFFFFFF"/>
        <bgColor rgb="FFDDEEFF"/>
      </patternFill>
    </fill>
    <fill>
      <patternFill patternType="solid">
        <fgColor rgb="FFD52B1E"/>
        <bgColor rgb="FFC00000"/>
      </patternFill>
    </fill>
    <fill>
      <patternFill patternType="solid">
        <fgColor rgb="FFFDC82F"/>
        <bgColor rgb="FFFFCC99"/>
      </patternFill>
    </fill>
    <fill>
      <patternFill patternType="solid">
        <fgColor rgb="FFC00000"/>
        <bgColor rgb="FF800000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ck">
        <color rgb="FFAACCFF"/>
      </left>
      <right/>
      <top style="thick">
        <color rgb="FFAACCFF"/>
      </top>
      <bottom/>
      <diagonal/>
    </border>
    <border diagonalUp="false" diagonalDown="false">
      <left/>
      <right/>
      <top style="thick">
        <color rgb="FFAACCFF"/>
      </top>
      <bottom/>
      <diagonal/>
    </border>
    <border diagonalUp="false" diagonalDown="false">
      <left style="thick">
        <color rgb="FFAACCFF"/>
      </left>
      <right/>
      <top/>
      <bottom/>
      <diagonal/>
    </border>
    <border diagonalUp="false" diagonalDown="false">
      <left/>
      <right style="thick">
        <color rgb="FFAACCFF"/>
      </right>
      <top/>
      <bottom/>
      <diagonal/>
    </border>
    <border diagonalUp="false" diagonalDown="false">
      <left/>
      <right style="thick">
        <color rgb="FFAACCFF"/>
      </right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ck">
        <color rgb="FFAACCFF"/>
      </left>
      <right/>
      <top/>
      <bottom style="thick">
        <color rgb="FFAACCFF"/>
      </bottom>
      <diagonal/>
    </border>
    <border diagonalUp="false" diagonalDown="false">
      <left/>
      <right style="thick">
        <color rgb="FFAACCFF"/>
      </right>
      <top/>
      <bottom style="thick">
        <color rgb="FFAACCFF"/>
      </bottom>
      <diagonal/>
    </border>
    <border diagonalUp="false" diagonalDown="false">
      <left/>
      <right/>
      <top/>
      <bottom style="thick">
        <color rgb="FFAACCFF"/>
      </bottom>
      <diagonal/>
    </border>
    <border diagonalUp="false" diagonalDown="false">
      <left/>
      <right style="thick">
        <color rgb="FFAACCFF"/>
      </right>
      <top style="thick">
        <color rgb="FFAACCFF"/>
      </top>
      <bottom/>
      <diagonal/>
    </border>
    <border diagonalUp="false" diagonalDown="false">
      <left style="thin">
        <color rgb="FFD52B1E"/>
      </left>
      <right/>
      <top/>
      <bottom/>
      <diagonal/>
    </border>
    <border diagonalUp="false" diagonalDown="false">
      <left/>
      <right style="thin">
        <color rgb="FFD52B1E"/>
      </right>
      <top/>
      <bottom/>
      <diagonal/>
    </border>
    <border diagonalUp="false" diagonalDown="false">
      <left style="thin">
        <color rgb="FFD52B1E"/>
      </left>
      <right/>
      <top style="thin">
        <color rgb="FFD52B1E"/>
      </top>
      <bottom style="medium">
        <color rgb="FFD52B1E"/>
      </bottom>
      <diagonal/>
    </border>
    <border diagonalUp="false" diagonalDown="false">
      <left/>
      <right/>
      <top style="thin">
        <color rgb="FFD52B1E"/>
      </top>
      <bottom style="medium">
        <color rgb="FFD52B1E"/>
      </bottom>
      <diagonal/>
    </border>
    <border diagonalUp="false" diagonalDown="false">
      <left/>
      <right style="thin">
        <color rgb="FFD52B1E"/>
      </right>
      <top style="thin">
        <color rgb="FFD52B1E"/>
      </top>
      <bottom style="medium">
        <color rgb="FFD52B1E"/>
      </bottom>
      <diagonal/>
    </border>
    <border diagonalUp="false" diagonalDown="false">
      <left style="thin">
        <color rgb="FFD52B1E"/>
      </left>
      <right/>
      <top/>
      <bottom style="medium">
        <color rgb="FFD52B1E"/>
      </bottom>
      <diagonal/>
    </border>
    <border diagonalUp="false" diagonalDown="false">
      <left/>
      <right/>
      <top/>
      <bottom style="medium">
        <color rgb="FFD52B1E"/>
      </bottom>
      <diagonal/>
    </border>
    <border diagonalUp="false" diagonalDown="false">
      <left/>
      <right style="thin">
        <color rgb="FFD52B1E"/>
      </right>
      <top/>
      <bottom style="medium">
        <color rgb="FFD52B1E"/>
      </bottom>
      <diagonal/>
    </border>
    <border diagonalUp="false" diagonalDown="false">
      <left/>
      <right/>
      <top style="thin">
        <color theme="1"/>
      </top>
      <bottom style="thin">
        <color theme="0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0"/>
      </bottom>
      <diagonal/>
    </border>
    <border diagonalUp="false" diagonalDown="false">
      <left/>
      <right style="thin">
        <color rgb="FFD52B1E"/>
      </right>
      <top style="thin">
        <color theme="1"/>
      </top>
      <bottom style="thin">
        <color theme="0"/>
      </bottom>
      <diagonal/>
    </border>
    <border diagonalUp="false" diagonalDown="false">
      <left/>
      <right style="thin">
        <color theme="1"/>
      </right>
      <top style="thin">
        <color theme="0"/>
      </top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/>
      <right style="thin">
        <color rgb="FFD52B1E"/>
      </right>
      <top style="thin">
        <color theme="0"/>
      </top>
      <bottom/>
      <diagonal/>
    </border>
    <border diagonalUp="false" diagonalDown="false">
      <left style="thin">
        <color rgb="FFD52B1E"/>
      </left>
      <right/>
      <top/>
      <bottom style="thin">
        <color rgb="FFD52B1E"/>
      </bottom>
      <diagonal/>
    </border>
    <border diagonalUp="false" diagonalDown="false">
      <left/>
      <right/>
      <top/>
      <bottom style="thin">
        <color rgb="FFD52B1E"/>
      </bottom>
      <diagonal/>
    </border>
    <border diagonalUp="false" diagonalDown="false">
      <left/>
      <right style="thin">
        <color theme="1"/>
      </right>
      <top/>
      <bottom style="thin">
        <color rgb="FFD52B1E"/>
      </bottom>
      <diagonal/>
    </border>
    <border diagonalUp="false" diagonalDown="false">
      <left/>
      <right style="thin">
        <color rgb="FFD52B1E"/>
      </right>
      <top/>
      <bottom style="thin">
        <color rgb="FFD52B1E"/>
      </bottom>
      <diagonal/>
    </border>
    <border diagonalUp="false" diagonalDown="false">
      <left style="thin">
        <color rgb="FFD52B1E"/>
      </left>
      <right/>
      <top style="thin">
        <color rgb="FFD52B1E"/>
      </top>
      <bottom style="double">
        <color rgb="FFD52B1E"/>
      </bottom>
      <diagonal/>
    </border>
    <border diagonalUp="false" diagonalDown="false">
      <left/>
      <right/>
      <top style="thin">
        <color rgb="FFD52B1E"/>
      </top>
      <bottom style="double">
        <color rgb="FFD52B1E"/>
      </bottom>
      <diagonal/>
    </border>
    <border diagonalUp="false" diagonalDown="false">
      <left/>
      <right style="thin">
        <color theme="1"/>
      </right>
      <top style="thin">
        <color rgb="FFD52B1E"/>
      </top>
      <bottom style="double">
        <color rgb="FFD52B1E"/>
      </bottom>
      <diagonal/>
    </border>
    <border diagonalUp="false" diagonalDown="false">
      <left/>
      <right style="thin">
        <color rgb="FFD52B1E"/>
      </right>
      <top style="thin">
        <color rgb="FFD52B1E"/>
      </top>
      <bottom style="double">
        <color rgb="FFD52B1E"/>
      </bottom>
      <diagonal/>
    </border>
    <border diagonalUp="false" diagonalDown="false">
      <left/>
      <right style="thin">
        <color rgb="FFD52B1E"/>
      </right>
      <top style="double">
        <color rgb="FFD52B1E"/>
      </top>
      <bottom/>
      <diagonal/>
    </border>
    <border diagonalUp="false" diagonalDown="false">
      <left style="thin">
        <color rgb="FFD52B1E"/>
      </left>
      <right/>
      <top style="thin">
        <color rgb="FFD52B1E"/>
      </top>
      <bottom/>
      <diagonal/>
    </border>
    <border diagonalUp="false" diagonalDown="false">
      <left/>
      <right/>
      <top style="thin">
        <color rgb="FFD52B1E"/>
      </top>
      <bottom/>
      <diagonal/>
    </border>
    <border diagonalUp="false" diagonalDown="false">
      <left/>
      <right style="thin">
        <color theme="1"/>
      </right>
      <top style="thin">
        <color rgb="FFD52B1E"/>
      </top>
      <bottom/>
      <diagonal/>
    </border>
    <border diagonalUp="false" diagonalDown="false">
      <left/>
      <right style="thin">
        <color rgb="FFD52B1E"/>
      </right>
      <top style="thin">
        <color rgb="FFD52B1E"/>
      </top>
      <bottom/>
      <diagonal/>
    </border>
    <border diagonalUp="false" diagonalDown="false">
      <left style="thin">
        <color rgb="FFD52B1E"/>
      </left>
      <right/>
      <top style="thin">
        <color rgb="FFD52B1E"/>
      </top>
      <bottom style="thin">
        <color rgb="FFD52B1E"/>
      </bottom>
      <diagonal/>
    </border>
    <border diagonalUp="false" diagonalDown="false">
      <left/>
      <right/>
      <top style="thin">
        <color rgb="FFD52B1E"/>
      </top>
      <bottom style="thin">
        <color rgb="FFD52B1E"/>
      </bottom>
      <diagonal/>
    </border>
    <border diagonalUp="false" diagonalDown="false">
      <left/>
      <right style="thin">
        <color theme="1"/>
      </right>
      <top style="thin">
        <color rgb="FFD52B1E"/>
      </top>
      <bottom style="thin">
        <color rgb="FFD52B1E"/>
      </bottom>
      <diagonal/>
    </border>
    <border diagonalUp="false" diagonalDown="false">
      <left/>
      <right style="thin">
        <color rgb="FFD52B1E"/>
      </right>
      <top style="thin">
        <color rgb="FFD52B1E"/>
      </top>
      <bottom style="thin">
        <color rgb="FFD52B1E"/>
      </bottom>
      <diagonal/>
    </border>
    <border diagonalUp="false" diagonalDown="false">
      <left style="thin">
        <color rgb="FFD52B1E"/>
      </left>
      <right/>
      <top style="double">
        <color rgb="FFD52B1E"/>
      </top>
      <bottom style="thin">
        <color rgb="FFD52B1E"/>
      </bottom>
      <diagonal/>
    </border>
    <border diagonalUp="false" diagonalDown="false">
      <left/>
      <right style="thin">
        <color rgb="FFD52B1E"/>
      </right>
      <top style="medium">
        <color rgb="FFD52B1E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rgb="FFD52B1E"/>
      </top>
      <bottom style="medium">
        <color rgb="FFD52B1E"/>
      </bottom>
      <diagonal/>
    </border>
    <border diagonalUp="false" diagonalDown="false">
      <left style="thin">
        <color rgb="FFD52B1E"/>
      </left>
      <right style="thin">
        <color rgb="FFD52B1E"/>
      </right>
      <top/>
      <bottom/>
      <diagonal/>
    </border>
    <border diagonalUp="false" diagonalDown="false">
      <left style="thin">
        <color rgb="FFD52B1E"/>
      </left>
      <right/>
      <top style="thin"/>
      <bottom/>
      <diagonal/>
    </border>
    <border diagonalUp="false" diagonalDown="false">
      <left/>
      <right style="thin">
        <color rgb="FFD52B1E"/>
      </right>
      <top style="thin"/>
      <bottom/>
      <diagonal/>
    </border>
    <border diagonalUp="false" diagonalDown="false">
      <left style="thin">
        <color rgb="FFD52B1E"/>
      </left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>
        <color rgb="FFD52B1E"/>
      </right>
      <top style="thin"/>
      <bottom style="double"/>
      <diagonal/>
    </border>
    <border diagonalUp="false" diagonalDown="false">
      <left style="thin">
        <color rgb="FFD52B1E"/>
      </left>
      <right/>
      <top style="double"/>
      <bottom style="thin">
        <color rgb="FFD52B1E"/>
      </bottom>
      <diagonal/>
    </border>
    <border diagonalUp="false" diagonalDown="false">
      <left/>
      <right/>
      <top style="double"/>
      <bottom style="thin">
        <color rgb="FFD52B1E"/>
      </bottom>
      <diagonal/>
    </border>
    <border diagonalUp="false" diagonalDown="false">
      <left/>
      <right style="thin">
        <color rgb="FFD52B1E"/>
      </right>
      <top style="double"/>
      <bottom style="thin">
        <color rgb="FFD52B1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6" fontId="7" fillId="3" borderId="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4" fontId="7" fillId="4" borderId="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6" fontId="7" fillId="3" borderId="5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7" fillId="3" borderId="6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4" fontId="7" fillId="3" borderId="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66" fontId="7" fillId="4" borderId="5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7" fillId="4" borderId="6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7" fillId="3" borderId="6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6" fillId="4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7" fillId="4" borderId="9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8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5" fontId="7" fillId="4" borderId="9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9" fillId="5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9" fillId="5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9" fillId="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9" fillId="6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4" borderId="1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1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9" fillId="5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9" fillId="5" borderId="2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9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9" fillId="6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4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5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4" borderId="26" xfId="0" applyFont="false" applyBorder="true" applyAlignment="true" applyProtection="true">
      <alignment horizontal="left" vertical="bottom" textRotation="0" wrapText="false" indent="1" shrinkToFit="false"/>
      <protection locked="false" hidden="false"/>
    </xf>
    <xf numFmtId="170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4" borderId="0" xfId="0" applyFont="true" applyBorder="false" applyAlignment="true" applyProtection="true">
      <alignment horizontal="left" vertical="bottom" textRotation="0" wrapText="false" indent="2" shrinkToFit="false"/>
      <protection locked="false" hidden="false"/>
    </xf>
    <xf numFmtId="170" fontId="8" fillId="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4" borderId="0" xfId="0" applyFont="false" applyBorder="false" applyAlignment="true" applyProtection="true">
      <alignment horizontal="left" vertical="bottom" textRotation="0" wrapText="false" indent="1" shrinkToFit="false"/>
      <protection locked="false" hidden="false"/>
    </xf>
    <xf numFmtId="170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0" fontId="0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" fillId="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4" borderId="11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5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4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5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5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9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6" fontId="9" fillId="6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4" borderId="2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5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9" fillId="5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9" fillId="5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9" fillId="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9" fillId="6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8" fillId="4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3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39" xfId="0" applyFont="fals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4" borderId="1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9" fillId="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4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4" borderId="2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0" fillId="4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4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0" fillId="4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4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4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4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4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4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8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21" fillId="4" borderId="1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8" fontId="8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1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0" fontId="8" fillId="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47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0" fillId="4" borderId="4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4" borderId="4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0" fillId="4" borderId="4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81" fontId="23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4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2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4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2" fillId="4" borderId="11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82" fontId="8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3" fontId="0" fillId="4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9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84" fontId="2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8" fontId="21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47" xfId="0" applyFont="true" applyBorder="true" applyAlignment="true" applyProtection="true">
      <alignment horizontal="left" vertical="bottom" textRotation="0" wrapText="false" indent="2" shrinkToFit="false"/>
      <protection locked="false" hidden="false"/>
    </xf>
    <xf numFmtId="183" fontId="0" fillId="4" borderId="4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85" fontId="0" fillId="4" borderId="4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4" borderId="11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86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87" fontId="21" fillId="4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4" borderId="4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5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0" fillId="4" borderId="5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4" borderId="1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4" borderId="5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5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5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color rgb="FFE7E6E6"/>
      </font>
      <fill>
        <patternFill>
          <bgColor theme="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E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CCFF"/>
      <rgbColor rgb="FFFF99CC"/>
      <rgbColor rgb="FFCC99FF"/>
      <rgbColor rgb="FFFFCC99"/>
      <rgbColor rgb="FF3366FF"/>
      <rgbColor rgb="FF33CCCC"/>
      <rgbColor rgb="FF99CC00"/>
      <rgbColor rgb="FFFDC82F"/>
      <rgbColor rgb="FFFF9900"/>
      <rgbColor rgb="FFFF6600"/>
      <rgbColor rgb="FF44546A"/>
      <rgbColor rgb="FFA6A6A6"/>
      <rgbColor rgb="FF003366"/>
      <rgbColor rgb="FF339966"/>
      <rgbColor rgb="FF003300"/>
      <rgbColor rgb="FF333300"/>
      <rgbColor rgb="FFD52B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0</xdr:rowOff>
    </xdr:from>
    <xdr:to>
      <xdr:col>1</xdr:col>
      <xdr:colOff>561600</xdr:colOff>
      <xdr:row>1</xdr:row>
      <xdr:rowOff>189720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98360" y="0"/>
          <a:ext cx="50436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0</xdr:rowOff>
    </xdr:from>
    <xdr:to>
      <xdr:col>1</xdr:col>
      <xdr:colOff>561600</xdr:colOff>
      <xdr:row>1</xdr:row>
      <xdr:rowOff>189720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198360" y="0"/>
          <a:ext cx="50436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0</xdr:rowOff>
    </xdr:from>
    <xdr:to>
      <xdr:col>1</xdr:col>
      <xdr:colOff>561600</xdr:colOff>
      <xdr:row>1</xdr:row>
      <xdr:rowOff>189720</xdr:rowOff>
    </xdr:to>
    <xdr:pic>
      <xdr:nvPicPr>
        <xdr:cNvPr id="2" name="Picture 2" descr=""/>
        <xdr:cNvPicPr/>
      </xdr:nvPicPr>
      <xdr:blipFill>
        <a:blip r:embed="rId1"/>
        <a:stretch/>
      </xdr:blipFill>
      <xdr:spPr>
        <a:xfrm>
          <a:off x="198360" y="0"/>
          <a:ext cx="504360" cy="38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42840</xdr:colOff>
      <xdr:row>0</xdr:row>
      <xdr:rowOff>0</xdr:rowOff>
    </xdr:from>
    <xdr:to>
      <xdr:col>1</xdr:col>
      <xdr:colOff>551160</xdr:colOff>
      <xdr:row>2</xdr:row>
      <xdr:rowOff>9000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83960" y="0"/>
          <a:ext cx="508320" cy="389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81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83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85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7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9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91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93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97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99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C51" activeCellId="0" sqref="C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7.86"/>
    <col collapsed="false" customWidth="true" hidden="false" outlineLevel="0" max="4" min="2" style="1" width="11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</row>
    <row r="2" customFormat="false" ht="15" hidden="false" customHeight="true" outlineLevel="0" collapsed="false">
      <c r="A2" s="4" t="s">
        <v>2</v>
      </c>
      <c r="B2" s="5" t="s">
        <v>3</v>
      </c>
      <c r="C2" s="6" t="s">
        <v>4</v>
      </c>
      <c r="D2" s="6" t="s">
        <v>5</v>
      </c>
    </row>
    <row r="3" customFormat="false" ht="15" hidden="false" customHeight="true" outlineLevel="0" collapsed="false">
      <c r="A3" s="7" t="s">
        <v>6</v>
      </c>
      <c r="B3" s="8"/>
      <c r="C3" s="9"/>
      <c r="D3" s="9"/>
    </row>
    <row r="4" customFormat="false" ht="15" hidden="false" customHeight="true" outlineLevel="0" collapsed="false">
      <c r="A4" s="10" t="s">
        <v>7</v>
      </c>
      <c r="B4" s="11" t="n">
        <v>15437</v>
      </c>
      <c r="C4" s="12" t="n">
        <v>15715</v>
      </c>
      <c r="D4" s="12" t="n">
        <v>16548</v>
      </c>
    </row>
    <row r="5" customFormat="false" ht="15" hidden="false" customHeight="true" outlineLevel="0" collapsed="false">
      <c r="A5" s="7" t="s">
        <v>8</v>
      </c>
      <c r="B5" s="13" t="n">
        <v>9742</v>
      </c>
      <c r="C5" s="14" t="n">
        <v>9782</v>
      </c>
      <c r="D5" s="14" t="n">
        <v>9690</v>
      </c>
    </row>
    <row r="6" customFormat="false" ht="15" hidden="false" customHeight="true" outlineLevel="0" collapsed="false">
      <c r="A6" s="10" t="s">
        <v>9</v>
      </c>
      <c r="B6" s="15" t="n">
        <v>316</v>
      </c>
      <c r="C6" s="16" t="n">
        <v>423</v>
      </c>
      <c r="D6" s="16" t="n">
        <v>647</v>
      </c>
    </row>
    <row r="7" customFormat="false" ht="15" hidden="false" customHeight="true" outlineLevel="0" collapsed="false">
      <c r="A7" s="7" t="s">
        <v>10</v>
      </c>
      <c r="B7" s="17" t="n">
        <v>25494</v>
      </c>
      <c r="C7" s="18" t="n">
        <v>25920</v>
      </c>
      <c r="D7" s="18" t="n">
        <v>26885</v>
      </c>
    </row>
    <row r="8" customFormat="false" ht="15" hidden="false" customHeight="true" outlineLevel="0" collapsed="false">
      <c r="A8" s="10" t="s">
        <v>11</v>
      </c>
      <c r="B8" s="19"/>
      <c r="C8" s="20"/>
      <c r="D8" s="20"/>
    </row>
    <row r="9" customFormat="false" ht="15" hidden="false" customHeight="true" outlineLevel="0" collapsed="false">
      <c r="A9" s="7" t="s">
        <v>12</v>
      </c>
      <c r="B9" s="13" t="n">
        <v>2475</v>
      </c>
      <c r="C9" s="14" t="n">
        <v>2536</v>
      </c>
      <c r="D9" s="14" t="n">
        <v>2618</v>
      </c>
      <c r="H9" s="21"/>
    </row>
    <row r="10" customFormat="false" ht="15" hidden="false" customHeight="true" outlineLevel="0" collapsed="false">
      <c r="A10" s="10" t="s">
        <v>13</v>
      </c>
      <c r="B10" s="22" t="n">
        <v>3039</v>
      </c>
      <c r="C10" s="23" t="n">
        <v>2995</v>
      </c>
      <c r="D10" s="23" t="n">
        <v>3006</v>
      </c>
    </row>
    <row r="11" customFormat="false" ht="15" hidden="false" customHeight="true" outlineLevel="0" collapsed="false">
      <c r="A11" s="7" t="s">
        <v>14</v>
      </c>
      <c r="B11" s="13" t="n">
        <v>2886</v>
      </c>
      <c r="C11" s="14" t="n">
        <v>2959</v>
      </c>
      <c r="D11" s="14" t="n">
        <v>2905</v>
      </c>
    </row>
    <row r="12" customFormat="false" ht="15" hidden="false" customHeight="true" outlineLevel="0" collapsed="false">
      <c r="A12" s="10" t="s">
        <v>15</v>
      </c>
      <c r="B12" s="22" t="n">
        <v>2299</v>
      </c>
      <c r="C12" s="23" t="n">
        <v>2381</v>
      </c>
      <c r="D12" s="23" t="n">
        <v>2358</v>
      </c>
    </row>
    <row r="13" customFormat="false" ht="15" hidden="false" customHeight="true" outlineLevel="0" collapsed="false">
      <c r="A13" s="7" t="s">
        <v>16</v>
      </c>
      <c r="B13" s="24" t="n">
        <v>232</v>
      </c>
      <c r="C13" s="25" t="n">
        <v>339</v>
      </c>
      <c r="D13" s="25" t="n">
        <v>564</v>
      </c>
    </row>
    <row r="14" customFormat="false" ht="15" hidden="false" customHeight="true" outlineLevel="0" collapsed="false">
      <c r="A14" s="10" t="s">
        <v>17</v>
      </c>
      <c r="B14" s="15" t="n">
        <v>382</v>
      </c>
      <c r="C14" s="16" t="n">
        <v>447</v>
      </c>
      <c r="D14" s="16" t="n">
        <v>457</v>
      </c>
    </row>
    <row r="15" customFormat="false" ht="15" hidden="false" customHeight="true" outlineLevel="0" collapsed="false">
      <c r="A15" s="7" t="s">
        <v>18</v>
      </c>
      <c r="B15" s="13" t="n">
        <v>2435</v>
      </c>
      <c r="C15" s="14" t="n">
        <v>2412</v>
      </c>
      <c r="D15" s="14" t="n">
        <v>2583</v>
      </c>
    </row>
    <row r="16" customFormat="false" ht="15" hidden="false" customHeight="true" outlineLevel="0" collapsed="false">
      <c r="A16" s="10" t="s">
        <v>19</v>
      </c>
      <c r="B16" s="15" t="n">
        <v>99</v>
      </c>
      <c r="C16" s="16" t="n">
        <v>139</v>
      </c>
      <c r="D16" s="16" t="n">
        <v>2</v>
      </c>
    </row>
    <row r="17" customFormat="false" ht="15" hidden="false" customHeight="true" outlineLevel="0" collapsed="false">
      <c r="A17" s="7" t="s">
        <v>20</v>
      </c>
      <c r="B17" s="17" t="n">
        <v>13847</v>
      </c>
      <c r="C17" s="18" t="n">
        <v>14208</v>
      </c>
      <c r="D17" s="18" t="n">
        <v>14492</v>
      </c>
    </row>
    <row r="18" customFormat="false" ht="15" hidden="false" customHeight="true" outlineLevel="0" collapsed="false">
      <c r="A18" s="10" t="s">
        <v>21</v>
      </c>
      <c r="B18" s="26" t="n">
        <v>11647</v>
      </c>
      <c r="C18" s="27" t="n">
        <v>11712</v>
      </c>
      <c r="D18" s="27" t="n">
        <v>12393</v>
      </c>
    </row>
    <row r="19" customFormat="false" ht="15" hidden="false" customHeight="true" outlineLevel="0" collapsed="false">
      <c r="A19" s="7" t="s">
        <v>22</v>
      </c>
      <c r="B19" s="13" t="n">
        <v>1361</v>
      </c>
      <c r="C19" s="14" t="n">
        <v>1506</v>
      </c>
      <c r="D19" s="14" t="n">
        <v>1582</v>
      </c>
    </row>
    <row r="20" customFormat="false" ht="15" hidden="false" customHeight="true" outlineLevel="0" collapsed="false">
      <c r="A20" s="10" t="s">
        <v>23</v>
      </c>
      <c r="B20" s="28" t="n">
        <v>-236</v>
      </c>
      <c r="C20" s="29" t="n">
        <v>-139</v>
      </c>
      <c r="D20" s="29" t="n">
        <v>-87</v>
      </c>
    </row>
    <row r="21" customFormat="false" ht="15" hidden="false" customHeight="true" outlineLevel="0" collapsed="false">
      <c r="A21" s="7" t="s">
        <v>24</v>
      </c>
      <c r="B21" s="17" t="n">
        <v>10522</v>
      </c>
      <c r="C21" s="18" t="n">
        <v>10345</v>
      </c>
      <c r="D21" s="18" t="n">
        <v>10897</v>
      </c>
    </row>
    <row r="22" customFormat="false" ht="15" hidden="false" customHeight="true" outlineLevel="0" collapsed="false">
      <c r="A22" s="10" t="s">
        <v>25</v>
      </c>
      <c r="B22" s="22" t="n">
        <v>2053</v>
      </c>
      <c r="C22" s="23" t="n">
        <v>2121</v>
      </c>
      <c r="D22" s="23" t="n">
        <v>2334</v>
      </c>
    </row>
    <row r="23" customFormat="false" ht="15" hidden="false" customHeight="true" outlineLevel="0" collapsed="false">
      <c r="A23" s="7" t="s">
        <v>26</v>
      </c>
      <c r="B23" s="30" t="n">
        <v>8469</v>
      </c>
      <c r="C23" s="31" t="n">
        <v>8223</v>
      </c>
      <c r="D23" s="31" t="n">
        <v>8563</v>
      </c>
    </row>
    <row r="24" customFormat="false" ht="15" hidden="false" customHeight="true" outlineLevel="0" collapsed="false">
      <c r="A24" s="10" t="s">
        <v>27</v>
      </c>
      <c r="B24" s="11" t="n">
        <v>11.63</v>
      </c>
      <c r="C24" s="12" t="n">
        <v>11.45</v>
      </c>
      <c r="D24" s="12" t="n">
        <v>12</v>
      </c>
    </row>
    <row r="25" customFormat="false" ht="15" hidden="false" customHeight="true" outlineLevel="0" collapsed="false">
      <c r="A25" s="7" t="s">
        <v>28</v>
      </c>
      <c r="B25" s="24" t="n">
        <v>11.56</v>
      </c>
      <c r="C25" s="25" t="n">
        <v>11.39</v>
      </c>
      <c r="D25" s="25" t="n">
        <v>11.95</v>
      </c>
    </row>
    <row r="26" customFormat="false" ht="15" hidden="false" customHeight="true" outlineLevel="0" collapsed="false">
      <c r="A26" s="10" t="s">
        <v>29</v>
      </c>
      <c r="B26" s="11" t="n">
        <v>6.23</v>
      </c>
      <c r="C26" s="12" t="n">
        <v>6.78</v>
      </c>
      <c r="D26" s="12" t="n">
        <v>7.17</v>
      </c>
    </row>
    <row r="27" customFormat="false" ht="15" hidden="false" customHeight="true" outlineLevel="0" collapsed="false">
      <c r="A27" s="7" t="s">
        <v>30</v>
      </c>
      <c r="B27" s="24" t="n">
        <v>727.9</v>
      </c>
      <c r="C27" s="25" t="n">
        <v>718.3</v>
      </c>
      <c r="D27" s="25" t="n">
        <v>713.4</v>
      </c>
    </row>
    <row r="28" customFormat="false" ht="15" hidden="false" customHeight="true" outlineLevel="0" collapsed="false">
      <c r="A28" s="32" t="s">
        <v>31</v>
      </c>
      <c r="B28" s="33" t="n">
        <v>732.3</v>
      </c>
      <c r="C28" s="34" t="n">
        <v>721.9</v>
      </c>
      <c r="D28" s="34" t="n">
        <v>716.4</v>
      </c>
    </row>
    <row r="29" customFormat="false" ht="15" hidden="false" customHeight="true" outlineLevel="0" collapsed="false"/>
    <row r="30" customFormat="false" ht="15" hidden="false" customHeight="true" outlineLevel="0" collapsed="false">
      <c r="A30" s="2" t="s">
        <v>32</v>
      </c>
      <c r="B30" s="35"/>
      <c r="C30" s="36"/>
      <c r="D30" s="36" t="s">
        <v>1</v>
      </c>
    </row>
    <row r="31" customFormat="false" ht="15" hidden="false" customHeight="true" outlineLevel="0" collapsed="false">
      <c r="A31" s="4" t="s">
        <v>2</v>
      </c>
      <c r="B31" s="5" t="s">
        <v>3</v>
      </c>
      <c r="C31" s="6" t="s">
        <v>4</v>
      </c>
      <c r="D31" s="6" t="s">
        <v>5</v>
      </c>
    </row>
    <row r="32" customFormat="false" ht="15" hidden="false" customHeight="true" outlineLevel="0" collapsed="false">
      <c r="A32" s="7" t="s">
        <v>33</v>
      </c>
      <c r="B32" s="8"/>
      <c r="C32" s="9"/>
      <c r="D32" s="9"/>
    </row>
    <row r="33" customFormat="false" ht="15" hidden="false" customHeight="true" outlineLevel="0" collapsed="false">
      <c r="A33" s="10" t="s">
        <v>26</v>
      </c>
      <c r="B33" s="11" t="n">
        <v>8469</v>
      </c>
      <c r="C33" s="12" t="n">
        <v>8223</v>
      </c>
      <c r="D33" s="12" t="n">
        <v>8563</v>
      </c>
    </row>
    <row r="34" customFormat="false" ht="15" hidden="false" customHeight="true" outlineLevel="0" collapsed="false">
      <c r="A34" s="7" t="s">
        <v>34</v>
      </c>
      <c r="B34" s="8"/>
      <c r="C34" s="9"/>
      <c r="D34" s="9"/>
    </row>
    <row r="35" customFormat="false" ht="15" hidden="false" customHeight="true" outlineLevel="0" collapsed="false">
      <c r="A35" s="10" t="s">
        <v>17</v>
      </c>
      <c r="B35" s="22" t="n">
        <v>1978</v>
      </c>
      <c r="C35" s="23" t="n">
        <v>2097</v>
      </c>
      <c r="D35" s="23" t="n">
        <v>2199</v>
      </c>
    </row>
    <row r="36" customFormat="false" ht="15" hidden="false" customHeight="true" outlineLevel="0" collapsed="false">
      <c r="A36" s="7" t="s">
        <v>35</v>
      </c>
      <c r="B36" s="37" t="n">
        <v>-686</v>
      </c>
      <c r="C36" s="38" t="n">
        <v>-574</v>
      </c>
      <c r="D36" s="38" t="n">
        <v>-126</v>
      </c>
    </row>
    <row r="37" customFormat="false" ht="15" hidden="false" customHeight="true" outlineLevel="0" collapsed="false">
      <c r="A37" s="10" t="s">
        <v>36</v>
      </c>
      <c r="B37" s="15" t="n">
        <v>175</v>
      </c>
      <c r="C37" s="16" t="n">
        <v>172</v>
      </c>
      <c r="D37" s="16" t="n">
        <v>165</v>
      </c>
    </row>
    <row r="38" customFormat="false" ht="15" hidden="false" customHeight="true" outlineLevel="0" collapsed="false">
      <c r="A38" s="7" t="s">
        <v>37</v>
      </c>
      <c r="B38" s="37" t="n">
        <v>-103</v>
      </c>
      <c r="C38" s="38" t="n">
        <v>-37</v>
      </c>
      <c r="D38" s="38" t="n">
        <v>-149</v>
      </c>
    </row>
    <row r="39" customFormat="false" ht="15" hidden="false" customHeight="true" outlineLevel="0" collapsed="false">
      <c r="A39" s="10" t="s">
        <v>18</v>
      </c>
      <c r="B39" s="28" t="n">
        <v>-113</v>
      </c>
      <c r="C39" s="16" t="n">
        <v>3</v>
      </c>
      <c r="D39" s="29" t="n">
        <v>-207</v>
      </c>
    </row>
    <row r="40" customFormat="false" ht="15" hidden="false" customHeight="true" outlineLevel="0" collapsed="false">
      <c r="A40" s="7" t="s">
        <v>38</v>
      </c>
      <c r="B40" s="8"/>
      <c r="C40" s="9"/>
      <c r="D40" s="9"/>
    </row>
    <row r="41" customFormat="false" ht="15" hidden="false" customHeight="true" outlineLevel="0" collapsed="false">
      <c r="A41" s="10" t="s">
        <v>39</v>
      </c>
      <c r="B41" s="28" t="n">
        <v>-161</v>
      </c>
      <c r="C41" s="16" t="n">
        <v>10</v>
      </c>
      <c r="D41" s="16" t="n">
        <v>231</v>
      </c>
    </row>
    <row r="42" customFormat="false" ht="15" hidden="false" customHeight="true" outlineLevel="0" collapsed="false">
      <c r="A42" s="7" t="s">
        <v>40</v>
      </c>
      <c r="B42" s="24" t="n">
        <v>17</v>
      </c>
      <c r="C42" s="25" t="n">
        <v>71</v>
      </c>
      <c r="D42" s="38" t="n">
        <v>-140</v>
      </c>
    </row>
    <row r="43" customFormat="false" ht="15" hidden="false" customHeight="true" outlineLevel="0" collapsed="false">
      <c r="A43" s="10" t="s">
        <v>41</v>
      </c>
      <c r="B43" s="15" t="n">
        <v>50</v>
      </c>
      <c r="C43" s="29" t="n">
        <v>-10</v>
      </c>
      <c r="D43" s="16" t="n">
        <v>100</v>
      </c>
    </row>
    <row r="44" customFormat="false" ht="15" hidden="false" customHeight="true" outlineLevel="0" collapsed="false">
      <c r="A44" s="7" t="s">
        <v>42</v>
      </c>
      <c r="B44" s="37" t="n">
        <v>-220</v>
      </c>
      <c r="C44" s="38" t="n">
        <v>-292</v>
      </c>
      <c r="D44" s="38" t="n">
        <v>-239</v>
      </c>
    </row>
    <row r="45" customFormat="false" ht="15" hidden="false" customHeight="true" outlineLevel="0" collapsed="false">
      <c r="A45" s="10" t="s">
        <v>43</v>
      </c>
      <c r="B45" s="15" t="n">
        <v>206</v>
      </c>
      <c r="C45" s="29" t="n">
        <v>-217</v>
      </c>
      <c r="D45" s="16" t="n">
        <v>154</v>
      </c>
    </row>
    <row r="46" customFormat="false" ht="15" hidden="false" customHeight="true" outlineLevel="0" collapsed="false">
      <c r="A46" s="7" t="s">
        <v>44</v>
      </c>
      <c r="B46" s="17" t="n">
        <v>9612</v>
      </c>
      <c r="C46" s="18" t="n">
        <v>9447</v>
      </c>
      <c r="D46" s="18" t="n">
        <v>10551</v>
      </c>
    </row>
    <row r="47" customFormat="false" ht="15" hidden="false" customHeight="true" outlineLevel="0" collapsed="false">
      <c r="A47" s="10" t="s">
        <v>45</v>
      </c>
      <c r="B47" s="19"/>
      <c r="C47" s="20"/>
      <c r="D47" s="20"/>
    </row>
    <row r="48" customFormat="false" ht="15" hidden="false" customHeight="true" outlineLevel="0" collapsed="false">
      <c r="A48" s="7" t="s">
        <v>46</v>
      </c>
      <c r="B48" s="39" t="n">
        <v>-2357</v>
      </c>
      <c r="C48" s="40" t="n">
        <v>-2775</v>
      </c>
      <c r="D48" s="40" t="n">
        <v>-3365</v>
      </c>
    </row>
    <row r="49" customFormat="false" ht="15" hidden="false" customHeight="true" outlineLevel="0" collapsed="false">
      <c r="A49" s="10" t="s">
        <v>47</v>
      </c>
      <c r="B49" s="28" t="n">
        <v>-441</v>
      </c>
      <c r="C49" s="29" t="n">
        <v>-669</v>
      </c>
      <c r="D49" s="29" t="n">
        <v>-354</v>
      </c>
    </row>
    <row r="50" customFormat="false" ht="15" hidden="false" customHeight="true" outlineLevel="0" collapsed="false">
      <c r="A50" s="7" t="s">
        <v>48</v>
      </c>
      <c r="B50" s="24" t="n">
        <v>0</v>
      </c>
      <c r="C50" s="14" t="n">
        <v>-1837</v>
      </c>
      <c r="D50" s="25" t="n">
        <v>0</v>
      </c>
    </row>
    <row r="51" customFormat="false" ht="15" hidden="false" customHeight="true" outlineLevel="0" collapsed="false">
      <c r="A51" s="10" t="s">
        <v>49</v>
      </c>
      <c r="B51" s="15" t="n">
        <v>195</v>
      </c>
      <c r="C51" s="16" t="n">
        <v>311</v>
      </c>
      <c r="D51" s="16" t="n">
        <v>346</v>
      </c>
    </row>
    <row r="52" customFormat="false" ht="15" hidden="false" customHeight="true" outlineLevel="0" collapsed="false">
      <c r="A52" s="7" t="s">
        <v>50</v>
      </c>
      <c r="B52" s="24" t="n">
        <v>95</v>
      </c>
      <c r="C52" s="25" t="n">
        <v>122</v>
      </c>
      <c r="D52" s="25" t="n">
        <v>130</v>
      </c>
    </row>
    <row r="53" customFormat="false" ht="15" hidden="false" customHeight="true" outlineLevel="0" collapsed="false">
      <c r="A53" s="10" t="s">
        <v>18</v>
      </c>
      <c r="B53" s="28" t="n">
        <v>-676</v>
      </c>
      <c r="C53" s="29" t="n">
        <v>-498</v>
      </c>
      <c r="D53" s="29" t="n">
        <v>-579</v>
      </c>
    </row>
    <row r="54" customFormat="false" ht="15" hidden="false" customHeight="true" outlineLevel="0" collapsed="false">
      <c r="A54" s="7" t="s">
        <v>51</v>
      </c>
      <c r="B54" s="41" t="n">
        <v>-3185</v>
      </c>
      <c r="C54" s="42" t="n">
        <v>-5346</v>
      </c>
      <c r="D54" s="42" t="n">
        <v>-3822</v>
      </c>
    </row>
    <row r="55" customFormat="false" ht="15" hidden="false" customHeight="true" outlineLevel="0" collapsed="false">
      <c r="A55" s="10" t="s">
        <v>52</v>
      </c>
      <c r="B55" s="19"/>
      <c r="C55" s="20"/>
      <c r="D55" s="20"/>
    </row>
    <row r="56" customFormat="false" ht="15" hidden="false" customHeight="true" outlineLevel="0" collapsed="false">
      <c r="A56" s="7" t="s">
        <v>53</v>
      </c>
      <c r="B56" s="24" t="n">
        <v>213</v>
      </c>
      <c r="C56" s="25" t="n">
        <v>326</v>
      </c>
      <c r="D56" s="25" t="n">
        <v>6</v>
      </c>
    </row>
    <row r="57" customFormat="false" ht="15" hidden="false" customHeight="true" outlineLevel="0" collapsed="false">
      <c r="A57" s="10" t="s">
        <v>54</v>
      </c>
      <c r="B57" s="22" t="n">
        <v>5221</v>
      </c>
      <c r="C57" s="23" t="n">
        <v>2380</v>
      </c>
      <c r="D57" s="23" t="n">
        <v>4724</v>
      </c>
    </row>
    <row r="58" customFormat="false" ht="15" hidden="false" customHeight="true" outlineLevel="0" collapsed="false">
      <c r="A58" s="7" t="s">
        <v>55</v>
      </c>
      <c r="B58" s="39" t="n">
        <v>-2441</v>
      </c>
      <c r="C58" s="40" t="n">
        <v>-2777</v>
      </c>
      <c r="D58" s="40" t="n">
        <v>-4802</v>
      </c>
    </row>
    <row r="59" customFormat="false" ht="15" hidden="false" customHeight="true" outlineLevel="0" collapsed="false">
      <c r="A59" s="10" t="s">
        <v>56</v>
      </c>
      <c r="B59" s="43" t="n">
        <v>-3054</v>
      </c>
      <c r="C59" s="44" t="n">
        <v>-2824</v>
      </c>
      <c r="D59" s="44" t="n">
        <v>-2056</v>
      </c>
    </row>
    <row r="60" customFormat="false" ht="15" hidden="false" customHeight="true" outlineLevel="0" collapsed="false">
      <c r="A60" s="7" t="s">
        <v>57</v>
      </c>
      <c r="B60" s="39" t="n">
        <v>-4533</v>
      </c>
      <c r="C60" s="40" t="n">
        <v>-4870</v>
      </c>
      <c r="D60" s="40" t="n">
        <v>-5115</v>
      </c>
    </row>
    <row r="61" customFormat="false" ht="15" hidden="false" customHeight="true" outlineLevel="0" collapsed="false">
      <c r="A61" s="10" t="s">
        <v>58</v>
      </c>
      <c r="B61" s="15" t="n">
        <v>260</v>
      </c>
      <c r="C61" s="16" t="n">
        <v>328</v>
      </c>
      <c r="D61" s="16" t="n">
        <v>285</v>
      </c>
    </row>
    <row r="62" customFormat="false" ht="15" hidden="false" customHeight="true" outlineLevel="0" collapsed="false">
      <c r="A62" s="7" t="s">
        <v>18</v>
      </c>
      <c r="B62" s="37" t="n">
        <v>-40</v>
      </c>
      <c r="C62" s="38" t="n">
        <v>-56</v>
      </c>
      <c r="D62" s="38" t="n">
        <v>-167</v>
      </c>
    </row>
    <row r="63" customFormat="false" ht="15" hidden="false" customHeight="true" outlineLevel="0" collapsed="false">
      <c r="A63" s="10" t="s">
        <v>59</v>
      </c>
      <c r="B63" s="45" t="n">
        <v>-4374</v>
      </c>
      <c r="C63" s="46" t="n">
        <v>-7495</v>
      </c>
      <c r="D63" s="46" t="n">
        <v>-7125</v>
      </c>
    </row>
    <row r="64" customFormat="false" ht="15" hidden="false" customHeight="true" outlineLevel="0" collapsed="false">
      <c r="A64" s="7" t="s">
        <v>60</v>
      </c>
      <c r="B64" s="37" t="n">
        <v>-58</v>
      </c>
      <c r="C64" s="38" t="n">
        <v>-101</v>
      </c>
      <c r="D64" s="25" t="n">
        <v>86</v>
      </c>
    </row>
    <row r="65" customFormat="false" ht="15" hidden="false" customHeight="true" outlineLevel="0" collapsed="false">
      <c r="A65" s="10" t="s">
        <v>61</v>
      </c>
      <c r="B65" s="26" t="n">
        <v>1996</v>
      </c>
      <c r="C65" s="46" t="n">
        <v>-3494</v>
      </c>
      <c r="D65" s="47" t="n">
        <v>-311</v>
      </c>
    </row>
    <row r="66" customFormat="false" ht="15" hidden="false" customHeight="true" outlineLevel="0" collapsed="false">
      <c r="A66" s="7" t="s">
        <v>62</v>
      </c>
      <c r="B66" s="13" t="n">
        <v>2584</v>
      </c>
      <c r="C66" s="14" t="n">
        <v>4579</v>
      </c>
      <c r="D66" s="14" t="n">
        <v>1085</v>
      </c>
    </row>
    <row r="67" customFormat="false" ht="15" hidden="false" customHeight="true" outlineLevel="0" collapsed="false">
      <c r="A67" s="10" t="s">
        <v>63</v>
      </c>
      <c r="B67" s="22" t="n">
        <v>4579</v>
      </c>
      <c r="C67" s="23" t="n">
        <v>1085</v>
      </c>
      <c r="D67" s="16" t="n">
        <v>774</v>
      </c>
    </row>
    <row r="68" customFormat="false" ht="15" hidden="false" customHeight="true" outlineLevel="0" collapsed="false">
      <c r="A68" s="7" t="s">
        <v>64</v>
      </c>
      <c r="B68" s="8"/>
      <c r="C68" s="9"/>
      <c r="D68" s="9"/>
    </row>
    <row r="69" customFormat="false" ht="15" hidden="false" customHeight="true" outlineLevel="0" collapsed="false">
      <c r="A69" s="32" t="s">
        <v>65</v>
      </c>
      <c r="B69" s="48" t="n">
        <v>1287</v>
      </c>
      <c r="C69" s="49" t="n">
        <v>1523</v>
      </c>
      <c r="D69" s="49" t="n">
        <v>1555</v>
      </c>
    </row>
    <row r="70" customFormat="false" ht="15" hidden="false" customHeight="true" outlineLevel="0" collapsed="false"/>
    <row r="71" customFormat="false" ht="15" hidden="false" customHeight="true" outlineLevel="0" collapsed="false">
      <c r="A71" s="2" t="s">
        <v>66</v>
      </c>
      <c r="C71" s="50" t="s">
        <v>4</v>
      </c>
      <c r="D71" s="3" t="s">
        <v>5</v>
      </c>
    </row>
    <row r="72" customFormat="false" ht="15" hidden="false" customHeight="true" outlineLevel="0" collapsed="false">
      <c r="A72" s="4" t="s">
        <v>2</v>
      </c>
      <c r="C72" s="50"/>
      <c r="D72" s="3"/>
    </row>
    <row r="73" customFormat="false" ht="15" hidden="false" customHeight="true" outlineLevel="0" collapsed="false">
      <c r="A73" s="7" t="s">
        <v>67</v>
      </c>
      <c r="C73" s="8"/>
      <c r="D73" s="9"/>
    </row>
    <row r="74" customFormat="false" ht="15" hidden="false" customHeight="true" outlineLevel="0" collapsed="false">
      <c r="A74" s="10" t="s">
        <v>68</v>
      </c>
      <c r="C74" s="11" t="n">
        <v>1085</v>
      </c>
      <c r="D74" s="12" t="n">
        <v>774</v>
      </c>
    </row>
    <row r="75" customFormat="false" ht="15" hidden="false" customHeight="true" outlineLevel="0" collapsed="false">
      <c r="A75" s="7" t="s">
        <v>69</v>
      </c>
      <c r="C75" s="13" t="n">
        <v>2383</v>
      </c>
      <c r="D75" s="14" t="n">
        <v>2466</v>
      </c>
    </row>
    <row r="76" customFormat="false" ht="15" hidden="false" customHeight="true" outlineLevel="0" collapsed="false">
      <c r="A76" s="10" t="s">
        <v>70</v>
      </c>
      <c r="C76" s="15" t="n">
        <v>56</v>
      </c>
      <c r="D76" s="16" t="n">
        <v>61</v>
      </c>
    </row>
    <row r="77" customFormat="false" ht="15" hidden="false" customHeight="true" outlineLevel="0" collapsed="false">
      <c r="A77" s="7" t="s">
        <v>71</v>
      </c>
      <c r="C77" s="13" t="n">
        <v>1074</v>
      </c>
      <c r="D77" s="25" t="n">
        <v>863</v>
      </c>
    </row>
    <row r="78" customFormat="false" ht="15" hidden="false" customHeight="true" outlineLevel="0" collapsed="false">
      <c r="A78" s="10" t="s">
        <v>72</v>
      </c>
      <c r="C78" s="26" t="n">
        <v>4599</v>
      </c>
      <c r="D78" s="27" t="n">
        <v>4163</v>
      </c>
    </row>
    <row r="79" customFormat="false" ht="15" hidden="false" customHeight="true" outlineLevel="0" collapsed="false">
      <c r="A79" s="7" t="s">
        <v>73</v>
      </c>
      <c r="C79" s="8"/>
      <c r="D79" s="9"/>
    </row>
    <row r="80" customFormat="false" ht="15" hidden="false" customHeight="true" outlineLevel="0" collapsed="false">
      <c r="A80" s="10" t="s">
        <v>74</v>
      </c>
      <c r="C80" s="22" t="n">
        <v>2710</v>
      </c>
      <c r="D80" s="23" t="n">
        <v>2820</v>
      </c>
    </row>
    <row r="81" customFormat="false" ht="15" hidden="false" customHeight="true" outlineLevel="0" collapsed="false">
      <c r="A81" s="7" t="s">
        <v>75</v>
      </c>
      <c r="C81" s="13" t="n">
        <v>3145</v>
      </c>
      <c r="D81" s="14" t="n">
        <v>3354</v>
      </c>
    </row>
    <row r="82" customFormat="false" ht="15" hidden="false" customHeight="true" outlineLevel="0" collapsed="false">
      <c r="A82" s="10" t="s">
        <v>76</v>
      </c>
      <c r="C82" s="22" t="n">
        <v>6095</v>
      </c>
      <c r="D82" s="23" t="n">
        <v>6331</v>
      </c>
    </row>
    <row r="83" customFormat="false" ht="15" hidden="false" customHeight="true" outlineLevel="0" collapsed="false">
      <c r="A83" s="7" t="s">
        <v>77</v>
      </c>
      <c r="C83" s="17" t="n">
        <v>11950</v>
      </c>
      <c r="D83" s="18" t="n">
        <v>12505</v>
      </c>
    </row>
    <row r="84" customFormat="false" ht="15" hidden="false" customHeight="true" outlineLevel="0" collapsed="false">
      <c r="A84" s="10" t="s">
        <v>78</v>
      </c>
      <c r="C84" s="22" t="n">
        <v>13339</v>
      </c>
      <c r="D84" s="23" t="n">
        <v>14606</v>
      </c>
    </row>
    <row r="85" customFormat="false" ht="15" hidden="false" customHeight="true" outlineLevel="0" collapsed="false">
      <c r="A85" s="7" t="s">
        <v>79</v>
      </c>
      <c r="C85" s="8"/>
      <c r="D85" s="9"/>
    </row>
    <row r="86" customFormat="false" ht="15" hidden="false" customHeight="true" outlineLevel="0" collapsed="false">
      <c r="A86" s="10" t="s">
        <v>80</v>
      </c>
      <c r="C86" s="22" t="n">
        <v>44177</v>
      </c>
      <c r="D86" s="23" t="n">
        <v>49290</v>
      </c>
    </row>
    <row r="87" customFormat="false" ht="15" hidden="false" customHeight="true" outlineLevel="0" collapsed="false">
      <c r="A87" s="7" t="s">
        <v>81</v>
      </c>
      <c r="C87" s="39" t="n">
        <v>-18882</v>
      </c>
      <c r="D87" s="40" t="n">
        <v>-21049</v>
      </c>
    </row>
    <row r="88" customFormat="false" ht="15" hidden="false" customHeight="true" outlineLevel="0" collapsed="false">
      <c r="A88" s="10" t="s">
        <v>82</v>
      </c>
      <c r="C88" s="26" t="n">
        <v>25295</v>
      </c>
      <c r="D88" s="27" t="n">
        <v>28241</v>
      </c>
    </row>
    <row r="89" customFormat="false" ht="15" hidden="false" customHeight="true" outlineLevel="0" collapsed="false">
      <c r="A89" s="7" t="s">
        <v>83</v>
      </c>
      <c r="C89" s="17" t="n">
        <v>55182</v>
      </c>
      <c r="D89" s="18" t="n">
        <v>59515</v>
      </c>
    </row>
    <row r="90" customFormat="false" ht="15" hidden="false" customHeight="true" outlineLevel="0" collapsed="false">
      <c r="A90" s="10" t="s">
        <v>84</v>
      </c>
      <c r="C90" s="19"/>
      <c r="D90" s="20"/>
    </row>
    <row r="91" customFormat="false" ht="15" hidden="false" customHeight="true" outlineLevel="0" collapsed="false">
      <c r="A91" s="7" t="s">
        <v>41</v>
      </c>
      <c r="C91" s="13" t="n">
        <v>1029</v>
      </c>
      <c r="D91" s="14" t="n">
        <v>1149</v>
      </c>
    </row>
    <row r="92" customFormat="false" ht="15" hidden="false" customHeight="true" outlineLevel="0" collapsed="false">
      <c r="A92" s="10" t="s">
        <v>85</v>
      </c>
      <c r="C92" s="15" t="n">
        <v>636</v>
      </c>
      <c r="D92" s="16" t="n">
        <v>694</v>
      </c>
    </row>
    <row r="93" customFormat="false" ht="15" hidden="false" customHeight="true" outlineLevel="0" collapsed="false">
      <c r="A93" s="7" t="s">
        <v>42</v>
      </c>
      <c r="C93" s="24" t="n">
        <v>361</v>
      </c>
      <c r="D93" s="25" t="n">
        <v>250</v>
      </c>
    </row>
    <row r="94" customFormat="false" ht="15" hidden="false" customHeight="true" outlineLevel="0" collapsed="false">
      <c r="A94" s="10" t="s">
        <v>86</v>
      </c>
      <c r="C94" s="15" t="n">
        <v>224</v>
      </c>
      <c r="D94" s="16" t="n">
        <v>247</v>
      </c>
    </row>
    <row r="95" customFormat="false" ht="15" hidden="false" customHeight="true" outlineLevel="0" collapsed="false">
      <c r="A95" s="7" t="s">
        <v>87</v>
      </c>
      <c r="C95" s="24" t="n">
        <v>482</v>
      </c>
      <c r="D95" s="25" t="n">
        <v>533</v>
      </c>
    </row>
    <row r="96" customFormat="false" ht="15" hidden="false" customHeight="true" outlineLevel="0" collapsed="false">
      <c r="A96" s="10" t="s">
        <v>88</v>
      </c>
      <c r="C96" s="22" t="n">
        <v>1129</v>
      </c>
      <c r="D96" s="23" t="n">
        <v>1488</v>
      </c>
    </row>
    <row r="97" customFormat="false" ht="15" hidden="false" customHeight="true" outlineLevel="0" collapsed="false">
      <c r="A97" s="7" t="s">
        <v>89</v>
      </c>
      <c r="C97" s="17" t="n">
        <v>3861</v>
      </c>
      <c r="D97" s="18" t="n">
        <v>4361</v>
      </c>
    </row>
    <row r="98" customFormat="false" ht="15" hidden="false" customHeight="true" outlineLevel="0" collapsed="false">
      <c r="A98" s="10" t="s">
        <v>90</v>
      </c>
      <c r="C98" s="22" t="n">
        <v>38424</v>
      </c>
      <c r="D98" s="23" t="n">
        <v>39973</v>
      </c>
    </row>
    <row r="99" customFormat="false" ht="15" hidden="false" customHeight="true" outlineLevel="0" collapsed="false">
      <c r="A99" s="7" t="s">
        <v>91</v>
      </c>
      <c r="C99" s="13" t="n">
        <v>12888</v>
      </c>
      <c r="D99" s="14" t="n">
        <v>14147</v>
      </c>
    </row>
    <row r="100" customFormat="false" ht="15" hidden="false" customHeight="true" outlineLevel="0" collapsed="false">
      <c r="A100" s="10" t="s">
        <v>92</v>
      </c>
      <c r="C100" s="15" t="n">
        <v>344</v>
      </c>
      <c r="D100" s="16" t="n">
        <v>139</v>
      </c>
    </row>
    <row r="101" customFormat="false" ht="15" hidden="false" customHeight="true" outlineLevel="0" collapsed="false">
      <c r="A101" s="7" t="s">
        <v>93</v>
      </c>
      <c r="C101" s="24" t="n">
        <v>778</v>
      </c>
      <c r="D101" s="25" t="n">
        <v>945</v>
      </c>
    </row>
    <row r="102" customFormat="false" ht="15" hidden="false" customHeight="true" outlineLevel="0" collapsed="false">
      <c r="A102" s="10" t="s">
        <v>94</v>
      </c>
      <c r="C102" s="15" t="n">
        <v>771</v>
      </c>
      <c r="D102" s="16" t="n">
        <v>704</v>
      </c>
    </row>
    <row r="103" customFormat="false" ht="15" hidden="false" customHeight="true" outlineLevel="0" collapsed="false">
      <c r="A103" s="7" t="s">
        <v>35</v>
      </c>
      <c r="C103" s="13" t="n">
        <v>1914</v>
      </c>
      <c r="D103" s="14" t="n">
        <v>1038</v>
      </c>
    </row>
    <row r="104" customFormat="false" ht="15" hidden="false" customHeight="true" outlineLevel="0" collapsed="false">
      <c r="A104" s="10" t="s">
        <v>95</v>
      </c>
      <c r="C104" s="19"/>
      <c r="D104" s="20"/>
    </row>
    <row r="105" customFormat="false" ht="15" hidden="false" customHeight="true" outlineLevel="0" collapsed="false">
      <c r="A105" s="7" t="s">
        <v>96</v>
      </c>
      <c r="C105" s="24" t="n">
        <v>0</v>
      </c>
      <c r="D105" s="25" t="n">
        <v>0</v>
      </c>
    </row>
    <row r="106" customFormat="false" ht="15" hidden="false" customHeight="true" outlineLevel="0" collapsed="false">
      <c r="A106" s="10" t="s">
        <v>97</v>
      </c>
      <c r="C106" s="15" t="n">
        <v>17</v>
      </c>
      <c r="D106" s="16" t="n">
        <v>17</v>
      </c>
    </row>
    <row r="107" customFormat="false" ht="15" hidden="false" customHeight="true" outlineLevel="0" collapsed="false">
      <c r="A107" s="7" t="s">
        <v>98</v>
      </c>
      <c r="C107" s="13" t="n">
        <v>9281</v>
      </c>
      <c r="D107" s="14" t="n">
        <v>9641</v>
      </c>
    </row>
    <row r="108" customFormat="false" ht="15" hidden="false" customHeight="true" outlineLevel="0" collapsed="false">
      <c r="A108" s="10" t="s">
        <v>99</v>
      </c>
      <c r="C108" s="22" t="n">
        <v>66834</v>
      </c>
      <c r="D108" s="23" t="n">
        <v>70282</v>
      </c>
    </row>
    <row r="109" customFormat="false" ht="15" hidden="false" customHeight="true" outlineLevel="0" collapsed="false">
      <c r="A109" s="7" t="s">
        <v>100</v>
      </c>
      <c r="C109" s="39" t="n">
        <v>-2553</v>
      </c>
      <c r="D109" s="40" t="n">
        <v>-2414</v>
      </c>
    </row>
    <row r="110" customFormat="false" ht="15" hidden="false" customHeight="true" outlineLevel="0" collapsed="false">
      <c r="A110" s="10" t="s">
        <v>101</v>
      </c>
      <c r="B110" s="21"/>
      <c r="C110" s="43" t="n">
        <v>-77375</v>
      </c>
      <c r="D110" s="44" t="n">
        <v>-79316</v>
      </c>
    </row>
    <row r="111" customFormat="false" ht="15" hidden="false" customHeight="true" outlineLevel="0" collapsed="false">
      <c r="A111" s="7" t="s">
        <v>102</v>
      </c>
      <c r="C111" s="41" t="n">
        <v>-3797</v>
      </c>
      <c r="D111" s="42" t="n">
        <v>-1791</v>
      </c>
    </row>
    <row r="112" customFormat="false" ht="15" hidden="false" customHeight="true" outlineLevel="0" collapsed="false">
      <c r="A112" s="32" t="s">
        <v>103</v>
      </c>
      <c r="C112" s="48" t="n">
        <v>55182</v>
      </c>
      <c r="D112" s="49" t="n">
        <v>59515</v>
      </c>
    </row>
    <row r="113" customFormat="false" ht="15.75" hidden="false" customHeight="true" outlineLevel="0" collapsed="false"/>
  </sheetData>
  <mergeCells count="3">
    <mergeCell ref="B1:D1"/>
    <mergeCell ref="C71:C72"/>
    <mergeCell ref="D71:D72"/>
  </mergeCells>
  <hyperlinks>
    <hyperlink ref="A3" r:id="rId1" display="REVENUES"/>
    <hyperlink ref="A4" r:id="rId2" display="Revenues from franchised restaurants"/>
    <hyperlink ref="A5" r:id="rId3" display="Sales by Company-owned and operated restaurants"/>
    <hyperlink ref="A6" r:id="rId4" display="Other revenues"/>
    <hyperlink ref="A7" r:id="rId5" display="Total revenues"/>
    <hyperlink ref="A8" r:id="rId6" display="OPERATING COSTS AND EXPENSES"/>
    <hyperlink ref="A9" r:id="rId7" display="Franchised restaurants-occupancy expenses"/>
    <hyperlink ref="A10" r:id="rId8" display="Food &amp; paper"/>
    <hyperlink ref="A11" r:id="rId9" display="Payroll &amp; employee benefits"/>
    <hyperlink ref="A12" r:id="rId10" display="Occupancy &amp; other operating expenses"/>
    <hyperlink ref="A13" r:id="rId11" display="Other restaurant expenses"/>
    <hyperlink ref="A14" r:id="rId12" display="Depreciation and amortization"/>
    <hyperlink ref="A15" r:id="rId13" display="Other"/>
    <hyperlink ref="A16" r:id="rId14" display="Other operating (income) expense, net"/>
    <hyperlink ref="A17" r:id="rId15" display="Total operating costs and expenses"/>
    <hyperlink ref="A18" r:id="rId16" display="Operating income"/>
    <hyperlink ref="A19" r:id="rId17" display="Interest expense-net of capitalized interest of $29, $22 and $14"/>
    <hyperlink ref="A20" r:id="rId18" display="Nonoperating (income) expense, net"/>
    <hyperlink ref="A21" r:id="rId19" display="Income before provision for income taxes"/>
    <hyperlink ref="A22" r:id="rId20" display="Provision for income taxes"/>
    <hyperlink ref="A23" r:id="rId21" display="Net income"/>
    <hyperlink ref="A24" r:id="rId22" display="Earnings per common share–basic"/>
    <hyperlink ref="A25" r:id="rId23" display="Earnings per common share–diluted"/>
    <hyperlink ref="A26" r:id="rId24" display="Dividends declared per common share"/>
    <hyperlink ref="A27" r:id="rId25" display="Weighted-average shares outstanding–basic"/>
    <hyperlink ref="A28" r:id="rId26" display="Weighted-average shares outstanding–diluted"/>
    <hyperlink ref="A32" r:id="rId27" display="Operating activities"/>
    <hyperlink ref="A33" r:id="rId28" display="Net income"/>
    <hyperlink ref="A34" r:id="rId29" display="Charges and credits:"/>
    <hyperlink ref="A35" r:id="rId30" display="Depreciation and amortization"/>
    <hyperlink ref="A36" r:id="rId31" display="Deferred income taxes"/>
    <hyperlink ref="A37" r:id="rId32" display="Share-based compensation expense"/>
    <hyperlink ref="A38" r:id="rId33" display="Net (gain) loss on sale of restaurant and other businesses"/>
    <hyperlink ref="A39" r:id="rId34" display="Other"/>
    <hyperlink ref="A40" r:id="rId35" display="Changes in working capital items:"/>
    <hyperlink ref="A41" r:id="rId36" display="Accounts receivable"/>
    <hyperlink ref="A42" r:id="rId37" display="Inventories, prepaid expenses and other current assets"/>
    <hyperlink ref="A43" r:id="rId38" display="Accounts payable"/>
    <hyperlink ref="A44" r:id="rId39" display="Income taxes"/>
    <hyperlink ref="A45" r:id="rId40" display="Other accrued liabilities"/>
    <hyperlink ref="A46" r:id="rId41" display="Cash provided by operations"/>
    <hyperlink ref="A47" r:id="rId42" display="Investing activities"/>
    <hyperlink ref="A48" r:id="rId43" display="Capital expenditures"/>
    <hyperlink ref="A49" r:id="rId44" display="Purchases of restaurant businesses"/>
    <hyperlink ref="A50" r:id="rId45" display="Payments to Acquire Equity Method Investments"/>
    <hyperlink ref="A51" r:id="rId46" display="Sales of restaurant and other businesses"/>
    <hyperlink ref="A52" r:id="rId47" display="Sales of property"/>
    <hyperlink ref="A53" r:id="rId48" display="Other"/>
    <hyperlink ref="A54" r:id="rId49" display="Cash used for investing activities"/>
    <hyperlink ref="A55" r:id="rId50" display="Financing activities"/>
    <hyperlink ref="A56" r:id="rId51" display="Net short-term borrowings"/>
    <hyperlink ref="A57" r:id="rId52" display="Long-term financing issuances"/>
    <hyperlink ref="A58" r:id="rId53" display="Long-term financing repayments"/>
    <hyperlink ref="A59" r:id="rId54" display="Treasury stock purchases"/>
    <hyperlink ref="A60" r:id="rId55" display="Common stock dividends"/>
    <hyperlink ref="A61" r:id="rId56" display="Proceeds from stock option exercises"/>
    <hyperlink ref="A62" r:id="rId57" display="Other"/>
    <hyperlink ref="A63" r:id="rId58" display="Cash used for financing activities"/>
    <hyperlink ref="A64" r:id="rId59" display="Effect of exchange rates on cash and equivalents"/>
    <hyperlink ref="A65" r:id="rId60" display="Cash and equivalents increase (decrease)"/>
    <hyperlink ref="A66" r:id="rId61" display="Cash and equivalents at beginning of year"/>
    <hyperlink ref="A67" r:id="rId62" display="Cash and equivalents at end of year"/>
    <hyperlink ref="A68" r:id="rId63" display="Supplemental cash flow disclosures"/>
    <hyperlink ref="A69" r:id="rId64" display="Interest Paid"/>
    <hyperlink ref="A73" r:id="rId65" display="Current assets"/>
    <hyperlink ref="A74" r:id="rId66" display="Cash and equivalents"/>
    <hyperlink ref="A75" r:id="rId67" display="Accounts and notes receivable"/>
    <hyperlink ref="A76" r:id="rId68" display="Inventories, at cost, not in excess of market"/>
    <hyperlink ref="A77" r:id="rId69" display="Prepaid expenses and other current assets"/>
    <hyperlink ref="A78" r:id="rId70" display="Total current assets"/>
    <hyperlink ref="A79" r:id="rId71" display="Other assets"/>
    <hyperlink ref="A80" r:id="rId72" display="Investments in and advances to affiliates"/>
    <hyperlink ref="A81" r:id="rId73" display="Goodwill"/>
    <hyperlink ref="A82" r:id="rId74" display="Miscellaneous"/>
    <hyperlink ref="A83" r:id="rId75" display="Total other assets"/>
    <hyperlink ref="A84" r:id="rId76" display="Lease right-of use asset, net"/>
    <hyperlink ref="A85" r:id="rId77" display="Property and equipment"/>
    <hyperlink ref="A86" r:id="rId78" display="Property and equipment, at cost"/>
    <hyperlink ref="A87" r:id="rId79" display="Accumulated depreciation and amortization"/>
    <hyperlink ref="A88" r:id="rId80" display="Net property and equipment"/>
    <hyperlink ref="A89" r:id="rId81" display="Total assets"/>
    <hyperlink ref="A90" r:id="rId82" display="Current liabilities"/>
    <hyperlink ref="A91" r:id="rId83" display="Accounts payable"/>
    <hyperlink ref="A92" r:id="rId84" display="Current lease liability"/>
    <hyperlink ref="A93" r:id="rId85" display="Income taxes"/>
    <hyperlink ref="A94" r:id="rId86" display="Other taxes"/>
    <hyperlink ref="A95" r:id="rId87" display="Accrued interest"/>
    <hyperlink ref="A96" r:id="rId88" display="Accrued payroll and other liabilities"/>
    <hyperlink ref="A97" r:id="rId89" display="Total current liabilities"/>
    <hyperlink ref="A98" r:id="rId90" display="Long-term debt"/>
    <hyperlink ref="A99" r:id="rId91" display="Long-term lease liability (noncurrent), net"/>
    <hyperlink ref="A100" r:id="rId92" display="Long-term income taxes"/>
    <hyperlink ref="A101" r:id="rId93" display="Deferred revenues - initial franchise fees"/>
    <hyperlink ref="A102" r:id="rId94" display="Other long-term liabilities"/>
    <hyperlink ref="A103" r:id="rId95" display="Deferred income taxes"/>
    <hyperlink ref="A104" r:id="rId96" display="Shareholders' equity (deficit)"/>
    <hyperlink ref="A105" r:id="rId97" display="Preferred stock, no par value; authorized – 165.0 million shares; issued – none"/>
    <hyperlink ref="A106" r:id="rId98" display="Common stock, $.01 par value; authorized – 3.5 billion shares; issued – 1,660.6 million shares"/>
    <hyperlink ref="A107" r:id="rId99" display="Additional paid-in capital"/>
    <hyperlink ref="A108" r:id="rId100" display="Retained earnings"/>
    <hyperlink ref="A109" r:id="rId101" display="Accumulated other comprehensive income (loss)"/>
    <hyperlink ref="A110" r:id="rId102" display="Common stock in treasury, at cost; 950.0 and 945.4 million shares"/>
    <hyperlink ref="A111" r:id="rId103" display="Total shareholders' equity (deficit)"/>
    <hyperlink ref="A112" r:id="rId104" display="Total liabilities and shareholders' equity (deficit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K30" activeCellId="0" sqref="K30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.14"/>
    <col collapsed="false" customWidth="true" hidden="false" outlineLevel="0" max="3" min="3" style="1" width="5.71"/>
    <col collapsed="false" customWidth="true" hidden="false" outlineLevel="0" max="6" min="4" style="1" width="10.57"/>
    <col collapsed="false" customWidth="true" hidden="false" outlineLevel="0" max="11" min="7" style="1" width="10.14"/>
    <col collapsed="false" customWidth="false" hidden="false" outlineLevel="0" max="16384" min="12" style="1" width="9.14"/>
  </cols>
  <sheetData>
    <row r="1" customFormat="false" ht="15" hidden="false" customHeight="true" outlineLevel="0" collapsed="false">
      <c r="A1" s="51"/>
      <c r="B1" s="52"/>
      <c r="C1" s="53"/>
      <c r="D1" s="53"/>
      <c r="E1" s="53"/>
      <c r="F1" s="53"/>
      <c r="G1" s="53"/>
      <c r="H1" s="53"/>
      <c r="I1" s="53"/>
      <c r="J1" s="53"/>
      <c r="K1" s="54"/>
    </row>
    <row r="2" customFormat="false" ht="15" hidden="false" customHeight="true" outlineLevel="0" collapsed="false">
      <c r="A2" s="51"/>
      <c r="B2" s="52"/>
      <c r="C2" s="53"/>
      <c r="D2" s="53"/>
      <c r="E2" s="53"/>
      <c r="F2" s="53"/>
      <c r="G2" s="53"/>
      <c r="H2" s="53"/>
      <c r="I2" s="53"/>
      <c r="J2" s="53"/>
      <c r="K2" s="54"/>
    </row>
    <row r="3" customFormat="false" ht="15" hidden="false" customHeight="true" outlineLevel="0" collapsed="false">
      <c r="A3" s="51"/>
      <c r="B3" s="55" t="s">
        <v>104</v>
      </c>
      <c r="C3" s="56"/>
      <c r="D3" s="56"/>
      <c r="E3" s="56"/>
      <c r="F3" s="56"/>
      <c r="G3" s="56"/>
      <c r="H3" s="56"/>
      <c r="I3" s="56"/>
      <c r="J3" s="56"/>
      <c r="K3" s="57"/>
    </row>
    <row r="4" customFormat="false" ht="15" hidden="false" customHeight="true" outlineLevel="0" collapsed="false">
      <c r="A4" s="51"/>
      <c r="B4" s="58" t="s">
        <v>105</v>
      </c>
      <c r="C4" s="51"/>
      <c r="D4" s="51"/>
      <c r="E4" s="51"/>
      <c r="F4" s="51"/>
      <c r="G4" s="51"/>
      <c r="H4" s="51"/>
      <c r="I4" s="51"/>
      <c r="J4" s="51"/>
      <c r="K4" s="59"/>
    </row>
    <row r="5" customFormat="false" ht="15" hidden="false" customHeight="true" outlineLevel="0" collapsed="false">
      <c r="A5" s="51"/>
      <c r="B5" s="60" t="s">
        <v>106</v>
      </c>
      <c r="C5" s="61"/>
      <c r="D5" s="61"/>
      <c r="E5" s="61"/>
      <c r="F5" s="61"/>
      <c r="G5" s="61"/>
      <c r="H5" s="61"/>
      <c r="I5" s="61"/>
      <c r="J5" s="61"/>
      <c r="K5" s="62"/>
    </row>
    <row r="6" customFormat="false" ht="15" hidden="false" customHeight="true" outlineLevel="0" collapsed="false">
      <c r="A6" s="51"/>
      <c r="B6" s="63"/>
      <c r="C6" s="51"/>
      <c r="D6" s="51"/>
      <c r="E6" s="51"/>
      <c r="F6" s="51"/>
      <c r="G6" s="51"/>
      <c r="H6" s="51"/>
      <c r="I6" s="51"/>
      <c r="J6" s="51"/>
      <c r="K6" s="59"/>
    </row>
    <row r="7" customFormat="false" ht="15" hidden="false" customHeight="true" outlineLevel="0" collapsed="false">
      <c r="A7" s="51"/>
      <c r="B7" s="64" t="s">
        <v>107</v>
      </c>
      <c r="C7" s="53"/>
      <c r="D7" s="65" t="s">
        <v>108</v>
      </c>
      <c r="E7" s="65"/>
      <c r="F7" s="65"/>
      <c r="G7" s="66" t="s">
        <v>109</v>
      </c>
      <c r="H7" s="66"/>
      <c r="I7" s="66"/>
      <c r="J7" s="66"/>
      <c r="K7" s="66"/>
    </row>
    <row r="8" customFormat="false" ht="15" hidden="false" customHeight="true" outlineLevel="0" collapsed="false">
      <c r="A8" s="51"/>
      <c r="B8" s="67" t="s">
        <v>110</v>
      </c>
      <c r="C8" s="68" t="s">
        <v>111</v>
      </c>
      <c r="D8" s="69" t="n">
        <v>45291</v>
      </c>
      <c r="E8" s="69" t="n">
        <f aca="false">EOMONTH(D8,12)</f>
        <v>45657</v>
      </c>
      <c r="F8" s="70" t="n">
        <f aca="false">EOMONTH(E8,12)</f>
        <v>46022</v>
      </c>
      <c r="G8" s="71" t="n">
        <f aca="false">EOMONTH(F8,12)</f>
        <v>46387</v>
      </c>
      <c r="H8" s="71" t="n">
        <f aca="false">EOMONTH(G8,12)</f>
        <v>46752</v>
      </c>
      <c r="I8" s="71" t="n">
        <f aca="false">EOMONTH(H8,12)</f>
        <v>47118</v>
      </c>
      <c r="J8" s="71" t="n">
        <f aca="false">EOMONTH(I8,12)</f>
        <v>47483</v>
      </c>
      <c r="K8" s="72" t="n">
        <f aca="false">EOMONTH(J8,12)</f>
        <v>47848</v>
      </c>
    </row>
    <row r="9" customFormat="false" ht="15" hidden="false" customHeight="true" outlineLevel="0" collapsed="false">
      <c r="A9" s="51"/>
      <c r="B9" s="73"/>
      <c r="C9" s="74" t="s">
        <v>112</v>
      </c>
      <c r="D9" s="75" t="s">
        <v>112</v>
      </c>
      <c r="E9" s="75" t="s">
        <v>112</v>
      </c>
      <c r="F9" s="76" t="s">
        <v>112</v>
      </c>
      <c r="G9" s="77" t="s">
        <v>112</v>
      </c>
      <c r="H9" s="77" t="s">
        <v>112</v>
      </c>
      <c r="I9" s="77" t="s">
        <v>112</v>
      </c>
      <c r="J9" s="77" t="s">
        <v>112</v>
      </c>
      <c r="K9" s="78" t="s">
        <v>112</v>
      </c>
    </row>
    <row r="10" customFormat="false" ht="15" hidden="false" customHeight="true" outlineLevel="0" collapsed="false">
      <c r="A10" s="51"/>
      <c r="B10" s="79" t="s">
        <v>113</v>
      </c>
      <c r="D10" s="80" t="n">
        <f aca="false">Sheet2!B7</f>
        <v>25494</v>
      </c>
      <c r="E10" s="80" t="n">
        <f aca="false">Sheet2!C7</f>
        <v>25920</v>
      </c>
      <c r="F10" s="81" t="n">
        <f aca="false">Sheet2!D7</f>
        <v>26885</v>
      </c>
      <c r="G10" s="80" t="n">
        <f aca="false">F10*(1+G27)</f>
        <v>27557.125</v>
      </c>
      <c r="H10" s="80" t="n">
        <f aca="false">G10*(1+H27)</f>
        <v>28246.053125</v>
      </c>
      <c r="I10" s="80" t="n">
        <f aca="false">H10*(1+I27)</f>
        <v>28952.204453125</v>
      </c>
      <c r="J10" s="80" t="n">
        <f aca="false">I10*(1+J27)</f>
        <v>29676.0095644531</v>
      </c>
      <c r="K10" s="82" t="n">
        <f aca="false">J10*(1+K27)</f>
        <v>30417.9098035644</v>
      </c>
    </row>
    <row r="11" customFormat="false" ht="15" hidden="false" customHeight="true" outlineLevel="0" collapsed="false">
      <c r="A11" s="51"/>
      <c r="B11" s="83" t="s">
        <v>114</v>
      </c>
      <c r="C11" s="84"/>
      <c r="D11" s="85" t="n">
        <f aca="false">-SUM(Sheet2!B9:B13)</f>
        <v>-10931</v>
      </c>
      <c r="E11" s="85" t="n">
        <f aca="false">-SUM(Sheet2!C9:C13)</f>
        <v>-11210</v>
      </c>
      <c r="F11" s="86" t="n">
        <f aca="false">-SUM(Sheet2!D9:D13)</f>
        <v>-11451</v>
      </c>
      <c r="G11" s="85" t="n">
        <f aca="false">G28*G10</f>
        <v>-11823.6357854391</v>
      </c>
      <c r="H11" s="85" t="n">
        <f aca="false">H28*H10</f>
        <v>-12121.9718785854</v>
      </c>
      <c r="I11" s="85" t="n">
        <f aca="false">I28*I10</f>
        <v>-12392.9010231673</v>
      </c>
      <c r="J11" s="85" t="n">
        <f aca="false">J28*J10</f>
        <v>-12723.7109281464</v>
      </c>
      <c r="K11" s="87" t="n">
        <f aca="false">K28*K10</f>
        <v>-13038.7110704591</v>
      </c>
    </row>
    <row r="12" customFormat="false" ht="15" hidden="false" customHeight="true" outlineLevel="0" collapsed="false">
      <c r="A12" s="51"/>
      <c r="B12" s="88" t="s">
        <v>115</v>
      </c>
      <c r="C12" s="89"/>
      <c r="D12" s="80" t="n">
        <f aca="false">SUM(D10:D11)</f>
        <v>14563</v>
      </c>
      <c r="E12" s="80" t="n">
        <f aca="false">SUM(E10:E11)</f>
        <v>14710</v>
      </c>
      <c r="F12" s="81" t="n">
        <f aca="false">SUM(F10:F11)</f>
        <v>15434</v>
      </c>
      <c r="G12" s="80" t="n">
        <f aca="false">SUM(G10:G11)</f>
        <v>15733.4892145609</v>
      </c>
      <c r="H12" s="80" t="n">
        <f aca="false">SUM(H10:H11)</f>
        <v>16124.0812464146</v>
      </c>
      <c r="I12" s="80" t="n">
        <f aca="false">SUM(I10:I11)</f>
        <v>16559.3034299577</v>
      </c>
      <c r="J12" s="80" t="n">
        <f aca="false">SUM(J10:J11)</f>
        <v>16952.2986363067</v>
      </c>
      <c r="K12" s="90" t="n">
        <f aca="false">SUM(K10:K11)</f>
        <v>17379.1987331053</v>
      </c>
    </row>
    <row r="13" customFormat="false" ht="15" hidden="false" customHeight="true" outlineLevel="0" collapsed="false">
      <c r="A13" s="51"/>
      <c r="B13" s="91" t="s">
        <v>116</v>
      </c>
      <c r="C13" s="92"/>
      <c r="D13" s="93" t="n">
        <f aca="false">-SUM(Sheet2!B15:B16)</f>
        <v>-2534</v>
      </c>
      <c r="E13" s="93" t="n">
        <f aca="false">-SUM(Sheet2!C15:C16)</f>
        <v>-2551</v>
      </c>
      <c r="F13" s="94" t="n">
        <f aca="false">-SUM(Sheet2!D15:D16)</f>
        <v>-2585</v>
      </c>
      <c r="G13" s="93" t="n">
        <f aca="false">G29*G10</f>
        <v>-2700.27138430682</v>
      </c>
      <c r="H13" s="93" t="n">
        <f aca="false">H29*H10</f>
        <v>-2754.52325951824</v>
      </c>
      <c r="I13" s="93" t="n">
        <f aca="false">I29*I10</f>
        <v>-2814.70707658952</v>
      </c>
      <c r="J13" s="93" t="n">
        <f aca="false">J29*J10</f>
        <v>-2895.64756391713</v>
      </c>
      <c r="K13" s="95" t="n">
        <f aca="false">K29*K10</f>
        <v>-2963.85354995885</v>
      </c>
    </row>
    <row r="14" customFormat="false" ht="15" hidden="false" customHeight="true" outlineLevel="0" collapsed="false">
      <c r="A14" s="51"/>
      <c r="B14" s="83" t="s">
        <v>117</v>
      </c>
      <c r="C14" s="84"/>
      <c r="D14" s="85" t="n">
        <f aca="false">-Sheet2!B14</f>
        <v>-382</v>
      </c>
      <c r="E14" s="85" t="n">
        <f aca="false">-Sheet2!C14</f>
        <v>-447</v>
      </c>
      <c r="F14" s="86" t="n">
        <f aca="false">-Sheet2!D14</f>
        <v>-457</v>
      </c>
      <c r="G14" s="85" t="n">
        <f aca="false">G31*G10</f>
        <v>-452.190507448966</v>
      </c>
      <c r="H14" s="85" t="n">
        <f aca="false">H31*H10</f>
        <v>-476.914847592324</v>
      </c>
      <c r="I14" s="85" t="n">
        <f aca="false">I31*I10</f>
        <v>-485.353128765234</v>
      </c>
      <c r="J14" s="85" t="n">
        <f aca="false">J31*J10</f>
        <v>-495.168445640611</v>
      </c>
      <c r="K14" s="87" t="n">
        <f aca="false">K31*K10</f>
        <v>-510.352305328693</v>
      </c>
      <c r="L14" s="96"/>
      <c r="M14" s="96"/>
      <c r="N14" s="96"/>
      <c r="O14" s="96"/>
      <c r="P14" s="96"/>
    </row>
    <row r="15" customFormat="false" ht="15" hidden="false" customHeight="true" outlineLevel="0" collapsed="false">
      <c r="A15" s="51"/>
      <c r="B15" s="79" t="s">
        <v>118</v>
      </c>
      <c r="C15" s="97"/>
      <c r="D15" s="80" t="n">
        <f aca="false">SUM(D12:D14)</f>
        <v>11647</v>
      </c>
      <c r="E15" s="80" t="n">
        <f aca="false">SUM(E12:E14)</f>
        <v>11712</v>
      </c>
      <c r="F15" s="81" t="n">
        <f aca="false">SUM(F12:F14)</f>
        <v>12392</v>
      </c>
      <c r="G15" s="80" t="n">
        <f aca="false">SUM(G12:G14)</f>
        <v>12581.0273228051</v>
      </c>
      <c r="H15" s="80" t="n">
        <f aca="false">SUM(H12:H14)</f>
        <v>12892.6431393041</v>
      </c>
      <c r="I15" s="80" t="n">
        <f aca="false">SUM(I12:I14)</f>
        <v>13259.2432246029</v>
      </c>
      <c r="J15" s="80" t="n">
        <f aca="false">SUM(J12:J14)</f>
        <v>13561.482626749</v>
      </c>
      <c r="K15" s="90" t="n">
        <f aca="false">SUM(K12:K14)</f>
        <v>13904.9928778178</v>
      </c>
    </row>
    <row r="16" customFormat="false" ht="15" hidden="false" customHeight="true" outlineLevel="0" collapsed="false">
      <c r="A16" s="51"/>
      <c r="B16" s="91" t="s">
        <v>119</v>
      </c>
      <c r="C16" s="92"/>
      <c r="D16" s="93" t="n">
        <f aca="false">-Sheet2!B19</f>
        <v>-1361</v>
      </c>
      <c r="E16" s="93" t="n">
        <f aca="false">-Sheet2!C19</f>
        <v>-1506</v>
      </c>
      <c r="F16" s="94" t="n">
        <f aca="false">-Sheet2!D19</f>
        <v>-1582</v>
      </c>
      <c r="G16" s="93" t="n">
        <f aca="false">G32*G15</f>
        <v>-1564.67384901232</v>
      </c>
      <c r="H16" s="93" t="n">
        <f aca="false">H32*H15</f>
        <v>-1635.71888905092</v>
      </c>
      <c r="I16" s="93" t="n">
        <f aca="false">I32*I15</f>
        <v>-1674.65572535996</v>
      </c>
      <c r="J16" s="93" t="n">
        <f aca="false">J32*J15</f>
        <v>-1706.67193007991</v>
      </c>
      <c r="K16" s="95" t="n">
        <f aca="false">K32*K15</f>
        <v>-1756.75807244583</v>
      </c>
    </row>
    <row r="17" customFormat="false" ht="15" hidden="false" customHeight="true" outlineLevel="0" collapsed="false">
      <c r="A17" s="51"/>
      <c r="B17" s="83" t="s">
        <v>120</v>
      </c>
      <c r="C17" s="84"/>
      <c r="D17" s="85" t="n">
        <f aca="false">-Sheet2!B20</f>
        <v>236</v>
      </c>
      <c r="E17" s="85" t="n">
        <f aca="false">-Sheet2!C20</f>
        <v>139</v>
      </c>
      <c r="F17" s="86" t="n">
        <f aca="false">-Sheet2!D20</f>
        <v>87</v>
      </c>
      <c r="G17" s="98" t="s">
        <v>121</v>
      </c>
      <c r="H17" s="98" t="s">
        <v>121</v>
      </c>
      <c r="I17" s="98" t="s">
        <v>121</v>
      </c>
      <c r="J17" s="98" t="s">
        <v>121</v>
      </c>
      <c r="K17" s="99" t="s">
        <v>121</v>
      </c>
    </row>
    <row r="18" customFormat="false" ht="15" hidden="false" customHeight="true" outlineLevel="0" collapsed="false">
      <c r="A18" s="51"/>
      <c r="B18" s="88" t="s">
        <v>122</v>
      </c>
      <c r="C18" s="100"/>
      <c r="D18" s="80" t="n">
        <f aca="false">SUM(D15:D17)</f>
        <v>10522</v>
      </c>
      <c r="E18" s="80" t="n">
        <f aca="false">SUM(E15:E17)</f>
        <v>10345</v>
      </c>
      <c r="F18" s="81" t="n">
        <f aca="false">SUM(F15:F17)</f>
        <v>10897</v>
      </c>
      <c r="G18" s="80" t="n">
        <f aca="false">SUM(G15:G17)</f>
        <v>11016.3534737928</v>
      </c>
      <c r="H18" s="80" t="n">
        <f aca="false">SUM(H15:H17)</f>
        <v>11256.9242502532</v>
      </c>
      <c r="I18" s="80" t="n">
        <f aca="false">SUM(I15:I17)</f>
        <v>11584.587499243</v>
      </c>
      <c r="J18" s="80" t="n">
        <f aca="false">SUM(J15:J17)</f>
        <v>11854.8106966691</v>
      </c>
      <c r="K18" s="90" t="n">
        <f aca="false">SUM(K15:K17)</f>
        <v>12148.2348053719</v>
      </c>
    </row>
    <row r="19" customFormat="false" ht="15" hidden="false" customHeight="true" outlineLevel="0" collapsed="false">
      <c r="A19" s="51"/>
      <c r="B19" s="83" t="s">
        <v>123</v>
      </c>
      <c r="C19" s="84"/>
      <c r="D19" s="85" t="n">
        <f aca="false">-Sheet2!B22</f>
        <v>-2053</v>
      </c>
      <c r="E19" s="85" t="n">
        <f aca="false">-Sheet2!C22</f>
        <v>-2121</v>
      </c>
      <c r="F19" s="86" t="n">
        <f aca="false">-Sheet2!D22</f>
        <v>-2334</v>
      </c>
      <c r="G19" s="85" t="n">
        <f aca="false">-G33*G18</f>
        <v>-2313.43422949648</v>
      </c>
      <c r="H19" s="85" t="n">
        <f aca="false">-H33*H18</f>
        <v>-2363.95409255316</v>
      </c>
      <c r="I19" s="85" t="n">
        <f aca="false">-I33*I18</f>
        <v>-2432.76337484102</v>
      </c>
      <c r="J19" s="85" t="n">
        <f aca="false">-J33*J18</f>
        <v>-2489.51024630051</v>
      </c>
      <c r="K19" s="87" t="n">
        <f aca="false">-K33*K18</f>
        <v>-2551.1293091281</v>
      </c>
    </row>
    <row r="20" customFormat="false" ht="15" hidden="false" customHeight="true" outlineLevel="0" collapsed="false">
      <c r="A20" s="51"/>
      <c r="B20" s="101" t="s">
        <v>124</v>
      </c>
      <c r="C20" s="102"/>
      <c r="D20" s="103" t="n">
        <f aca="false">SUM(D18:D19)</f>
        <v>8469</v>
      </c>
      <c r="E20" s="103" t="n">
        <f aca="false">SUM(E18:E19)</f>
        <v>8224</v>
      </c>
      <c r="F20" s="104" t="n">
        <f aca="false">SUM(F18:F19)</f>
        <v>8563</v>
      </c>
      <c r="G20" s="103" t="n">
        <f aca="false">SUM(G18:G19)</f>
        <v>8702.91924429628</v>
      </c>
      <c r="H20" s="103" t="n">
        <f aca="false">SUM(H18:H19)</f>
        <v>8892.97015769999</v>
      </c>
      <c r="I20" s="103" t="n">
        <f aca="false">SUM(I18:I19)</f>
        <v>9151.82412440194</v>
      </c>
      <c r="J20" s="103" t="n">
        <f aca="false">SUM(J18:J19)</f>
        <v>9365.30045036857</v>
      </c>
      <c r="K20" s="105" t="n">
        <f aca="false">SUM(K18:K19)</f>
        <v>9597.10549624382</v>
      </c>
    </row>
    <row r="21" customFormat="false" ht="15" hidden="false" customHeight="true" outlineLevel="0" collapsed="false">
      <c r="A21" s="51"/>
      <c r="B21" s="79"/>
      <c r="C21" s="97"/>
      <c r="D21" s="106"/>
      <c r="E21" s="106"/>
      <c r="F21" s="107"/>
      <c r="G21" s="108"/>
      <c r="H21" s="108"/>
      <c r="I21" s="108"/>
      <c r="J21" s="108"/>
      <c r="K21" s="109"/>
    </row>
    <row r="22" customFormat="false" ht="15" hidden="false" customHeight="true" outlineLevel="0" collapsed="false">
      <c r="A22" s="51"/>
      <c r="B22" s="79" t="s">
        <v>125</v>
      </c>
      <c r="C22" s="110"/>
      <c r="D22" s="80" t="n">
        <f aca="false">D15</f>
        <v>11647</v>
      </c>
      <c r="E22" s="80" t="n">
        <f aca="false">E15</f>
        <v>11712</v>
      </c>
      <c r="F22" s="81" t="n">
        <f aca="false">F15</f>
        <v>12392</v>
      </c>
      <c r="G22" s="80" t="n">
        <f aca="false">G15</f>
        <v>12581.0273228051</v>
      </c>
      <c r="H22" s="80" t="n">
        <f aca="false">H15</f>
        <v>12892.6431393041</v>
      </c>
      <c r="I22" s="80" t="n">
        <f aca="false">I15</f>
        <v>13259.2432246029</v>
      </c>
      <c r="J22" s="80" t="n">
        <f aca="false">J15</f>
        <v>13561.482626749</v>
      </c>
      <c r="K22" s="90" t="n">
        <f aca="false">K15</f>
        <v>13904.9928778178</v>
      </c>
    </row>
    <row r="23" customFormat="false" ht="15" hidden="false" customHeight="true" outlineLevel="0" collapsed="false">
      <c r="A23" s="51"/>
      <c r="B23" s="83" t="s">
        <v>126</v>
      </c>
      <c r="C23" s="111"/>
      <c r="D23" s="85" t="n">
        <f aca="false">'Cash flows'!D8</f>
        <v>1978</v>
      </c>
      <c r="E23" s="85" t="n">
        <f aca="false">'Cash flows'!E8</f>
        <v>2097</v>
      </c>
      <c r="F23" s="86" t="n">
        <f aca="false">'Cash flows'!F8</f>
        <v>2199</v>
      </c>
      <c r="G23" s="85" t="n">
        <f aca="false">'Cash flows'!G8</f>
        <v>2207.16479948237</v>
      </c>
      <c r="H23" s="85" t="n">
        <f aca="false">'Cash flows'!H8</f>
        <v>2290.58997259443</v>
      </c>
      <c r="I23" s="85" t="n">
        <f aca="false">'Cash flows'!I8</f>
        <v>2376.80692636241</v>
      </c>
      <c r="J23" s="85" t="n">
        <f aca="false">'Cash flows'!J8</f>
        <v>2465.90310908593</v>
      </c>
      <c r="K23" s="87" t="n">
        <f aca="false">'Cash flows'!K8</f>
        <v>2557.96859661664</v>
      </c>
    </row>
    <row r="24" customFormat="false" ht="15" hidden="false" customHeight="true" outlineLevel="0" collapsed="false">
      <c r="A24" s="51"/>
      <c r="B24" s="79" t="s">
        <v>127</v>
      </c>
      <c r="C24" s="97"/>
      <c r="D24" s="80" t="n">
        <f aca="false">D22+D23</f>
        <v>13625</v>
      </c>
      <c r="E24" s="80" t="n">
        <f aca="false">E22+E23</f>
        <v>13809</v>
      </c>
      <c r="F24" s="81" t="n">
        <f aca="false">F22+F23</f>
        <v>14591</v>
      </c>
      <c r="G24" s="80" t="n">
        <f aca="false">G22+G23</f>
        <v>14788.1921222874</v>
      </c>
      <c r="H24" s="80" t="n">
        <f aca="false">H22+H23</f>
        <v>15183.2331118985</v>
      </c>
      <c r="I24" s="80" t="n">
        <f aca="false">I22+I23</f>
        <v>15636.0501509653</v>
      </c>
      <c r="J24" s="80" t="n">
        <f aca="false">J22+J23</f>
        <v>16027.3857358349</v>
      </c>
      <c r="K24" s="90" t="n">
        <f aca="false">K22+K23</f>
        <v>16462.9614744344</v>
      </c>
    </row>
    <row r="25" customFormat="false" ht="15" hidden="false" customHeight="true" outlineLevel="0" collapsed="false">
      <c r="A25" s="51"/>
      <c r="B25" s="63"/>
      <c r="C25" s="51"/>
      <c r="D25" s="51"/>
      <c r="E25" s="51"/>
      <c r="F25" s="112"/>
      <c r="G25" s="108"/>
      <c r="H25" s="108"/>
      <c r="I25" s="108"/>
      <c r="J25" s="108"/>
      <c r="K25" s="113"/>
    </row>
    <row r="26" customFormat="false" ht="15" hidden="false" customHeight="true" outlineLevel="0" collapsed="false">
      <c r="A26" s="51"/>
      <c r="B26" s="64" t="s">
        <v>128</v>
      </c>
      <c r="C26" s="114" t="s">
        <v>111</v>
      </c>
      <c r="D26" s="69" t="n">
        <v>45291</v>
      </c>
      <c r="E26" s="69" t="n">
        <f aca="false">EOMONTH(D26,12)</f>
        <v>45657</v>
      </c>
      <c r="F26" s="70" t="n">
        <f aca="false">EOMONTH(E26,12)</f>
        <v>46022</v>
      </c>
      <c r="G26" s="71" t="n">
        <f aca="false">EOMONTH(F26,12)</f>
        <v>46387</v>
      </c>
      <c r="H26" s="71" t="n">
        <f aca="false">EOMONTH(G26,12)</f>
        <v>46752</v>
      </c>
      <c r="I26" s="71" t="n">
        <f aca="false">EOMONTH(H26,12)</f>
        <v>47118</v>
      </c>
      <c r="J26" s="71" t="n">
        <f aca="false">EOMONTH(I26,12)</f>
        <v>47483</v>
      </c>
      <c r="K26" s="72" t="n">
        <f aca="false">EOMONTH(J26,12)</f>
        <v>47848</v>
      </c>
    </row>
    <row r="27" customFormat="false" ht="15" hidden="false" customHeight="true" outlineLevel="0" collapsed="false">
      <c r="A27" s="51"/>
      <c r="B27" s="115" t="s">
        <v>129</v>
      </c>
      <c r="C27" s="116" t="s">
        <v>130</v>
      </c>
      <c r="D27" s="117" t="n">
        <v>0.1</v>
      </c>
      <c r="E27" s="117" t="n">
        <f aca="false">(E10-D10)/D10</f>
        <v>0.0167098140738997</v>
      </c>
      <c r="F27" s="118" t="n">
        <f aca="false">(F10-E10)/E10</f>
        <v>0.0372299382716049</v>
      </c>
      <c r="G27" s="117" t="n">
        <v>0.025</v>
      </c>
      <c r="H27" s="117" t="n">
        <v>0.025</v>
      </c>
      <c r="I27" s="117" t="n">
        <v>0.025</v>
      </c>
      <c r="J27" s="117" t="n">
        <v>0.025</v>
      </c>
      <c r="K27" s="117" t="n">
        <v>0.025</v>
      </c>
    </row>
    <row r="28" customFormat="false" ht="15" hidden="false" customHeight="true" outlineLevel="0" collapsed="false">
      <c r="A28" s="51"/>
      <c r="B28" s="115" t="s">
        <v>131</v>
      </c>
      <c r="C28" s="51"/>
      <c r="D28" s="117" t="n">
        <f aca="false">D11/D10</f>
        <v>-0.428767553149761</v>
      </c>
      <c r="E28" s="117" t="n">
        <f aca="false">E11/E10</f>
        <v>-0.432484567901235</v>
      </c>
      <c r="F28" s="118" t="n">
        <f aca="false">F11/F10</f>
        <v>-0.425925237121071</v>
      </c>
      <c r="G28" s="117" t="n">
        <f aca="false">AVERAGE(D28:F28)</f>
        <v>-0.429059119390689</v>
      </c>
      <c r="H28" s="117" t="n">
        <f aca="false">AVERAGE(E28:G28)</f>
        <v>-0.429156308137665</v>
      </c>
      <c r="I28" s="117" t="n">
        <f aca="false">AVERAGE(F28:H28)</f>
        <v>-0.428046888216475</v>
      </c>
      <c r="J28" s="117" t="n">
        <f aca="false">AVERAGE(G28:I28)</f>
        <v>-0.428754105248276</v>
      </c>
      <c r="K28" s="119" t="n">
        <f aca="false">AVERAGE(H28:J28)</f>
        <v>-0.428652433867472</v>
      </c>
    </row>
    <row r="29" customFormat="false" ht="15" hidden="false" customHeight="true" outlineLevel="0" collapsed="false">
      <c r="A29" s="51"/>
      <c r="B29" s="115" t="s">
        <v>132</v>
      </c>
      <c r="C29" s="51"/>
      <c r="D29" s="117" t="n">
        <f aca="false">D13/D10</f>
        <v>-0.099395936298737</v>
      </c>
      <c r="E29" s="117" t="n">
        <f aca="false">E13/E10</f>
        <v>-0.0984182098765432</v>
      </c>
      <c r="F29" s="118" t="n">
        <f aca="false">F13/F10</f>
        <v>-0.0961502696671006</v>
      </c>
      <c r="G29" s="117" t="n">
        <f aca="false">AVERAGE(D29:F29)</f>
        <v>-0.0979881386141269</v>
      </c>
      <c r="H29" s="117" t="n">
        <f aca="false">AVERAGE(E29:G29)</f>
        <v>-0.0975188727192569</v>
      </c>
      <c r="I29" s="117" t="n">
        <f aca="false">AVERAGE(F29:H29)</f>
        <v>-0.0972190936668281</v>
      </c>
      <c r="J29" s="117" t="n">
        <f aca="false">AVERAGE(G29:I29)</f>
        <v>-0.097575368333404</v>
      </c>
      <c r="K29" s="119" t="n">
        <f aca="false">AVERAGE(H29:J29)</f>
        <v>-0.0974377782398297</v>
      </c>
    </row>
    <row r="30" customFormat="false" ht="15" hidden="false" customHeight="true" outlineLevel="0" collapsed="false">
      <c r="A30" s="51"/>
      <c r="B30" s="115" t="s">
        <v>133</v>
      </c>
      <c r="C30" s="51"/>
      <c r="D30" s="117" t="n">
        <f aca="false">D23/D10</f>
        <v>0.0775868831882011</v>
      </c>
      <c r="E30" s="117" t="n">
        <f aca="false">E23/E10</f>
        <v>0.0809027777777778</v>
      </c>
      <c r="F30" s="118" t="n">
        <f aca="false">F23/F10</f>
        <v>0.0817928212758044</v>
      </c>
      <c r="G30" s="117" t="n">
        <f aca="false">AVERAGE(D30:F30)</f>
        <v>0.0800941607472611</v>
      </c>
      <c r="H30" s="117" t="n">
        <f aca="false">G30+0.1%</f>
        <v>0.0810941607472611</v>
      </c>
      <c r="I30" s="117" t="n">
        <f aca="false">H30+0.1%</f>
        <v>0.0820941607472611</v>
      </c>
      <c r="J30" s="117" t="n">
        <f aca="false">I30+0.1%</f>
        <v>0.0830941607472611</v>
      </c>
      <c r="K30" s="119" t="n">
        <f aca="false">J30+0.1%</f>
        <v>0.0840941607472611</v>
      </c>
    </row>
    <row r="31" customFormat="false" ht="15" hidden="false" customHeight="true" outlineLevel="0" collapsed="false">
      <c r="A31" s="51"/>
      <c r="B31" s="115" t="s">
        <v>134</v>
      </c>
      <c r="C31" s="51"/>
      <c r="D31" s="117" t="n">
        <f aca="false">D14/D10</f>
        <v>-0.0149839177845768</v>
      </c>
      <c r="E31" s="117" t="n">
        <f aca="false">E14/E10</f>
        <v>-0.0172453703703704</v>
      </c>
      <c r="F31" s="118" t="n">
        <f aca="false">F14/F10</f>
        <v>-0.0169983262042031</v>
      </c>
      <c r="G31" s="117" t="n">
        <f aca="false">AVERAGE(D31:F31)</f>
        <v>-0.0164092047863834</v>
      </c>
      <c r="H31" s="117" t="n">
        <f aca="false">AVERAGE(E31:G31)</f>
        <v>-0.0168843004536523</v>
      </c>
      <c r="I31" s="117" t="n">
        <f aca="false">AVERAGE(F31:H31)</f>
        <v>-0.0167639438147463</v>
      </c>
      <c r="J31" s="117" t="n">
        <f aca="false">AVERAGE(G31:I31)</f>
        <v>-0.016685816351594</v>
      </c>
      <c r="K31" s="119" t="n">
        <f aca="false">AVERAGE(H31:J31)</f>
        <v>-0.0167780202066642</v>
      </c>
    </row>
    <row r="32" customFormat="false" ht="15" hidden="false" customHeight="true" outlineLevel="0" collapsed="false">
      <c r="A32" s="51"/>
      <c r="B32" s="115" t="s">
        <v>135</v>
      </c>
      <c r="C32" s="51"/>
      <c r="D32" s="117" t="n">
        <f aca="false">D16/D15</f>
        <v>-0.116854125525886</v>
      </c>
      <c r="E32" s="117" t="n">
        <f aca="false">E16/E15</f>
        <v>-0.128586065573771</v>
      </c>
      <c r="F32" s="118" t="n">
        <f aca="false">F16/F15</f>
        <v>-0.127663008392511</v>
      </c>
      <c r="G32" s="117" t="n">
        <f aca="false">AVERAGE(D32:F32)</f>
        <v>-0.124367733164056</v>
      </c>
      <c r="H32" s="117" t="n">
        <f aca="false">AVERAGE(E32:G32)</f>
        <v>-0.126872269043446</v>
      </c>
      <c r="I32" s="117" t="n">
        <f aca="false">AVERAGE(F32:H32)</f>
        <v>-0.126301003533338</v>
      </c>
      <c r="J32" s="117" t="n">
        <f aca="false">AVERAGE(G32:I32)</f>
        <v>-0.125847001913613</v>
      </c>
      <c r="K32" s="119" t="n">
        <f aca="false">AVERAGE(H32:J32)</f>
        <v>-0.126340091496799</v>
      </c>
    </row>
    <row r="33" customFormat="false" ht="15" hidden="false" customHeight="true" outlineLevel="0" collapsed="false">
      <c r="A33" s="51"/>
      <c r="B33" s="120" t="s">
        <v>136</v>
      </c>
      <c r="C33" s="121"/>
      <c r="D33" s="122" t="n">
        <f aca="false">D19/D18</f>
        <v>-0.195114997148831</v>
      </c>
      <c r="E33" s="122" t="n">
        <f aca="false">E19/E18</f>
        <v>-0.205026582890285</v>
      </c>
      <c r="F33" s="123" t="n">
        <f aca="false">F19/F18</f>
        <v>-0.214187391025053</v>
      </c>
      <c r="G33" s="122" t="n">
        <v>0.21</v>
      </c>
      <c r="H33" s="122" t="n">
        <v>0.21</v>
      </c>
      <c r="I33" s="122" t="n">
        <v>0.21</v>
      </c>
      <c r="J33" s="122" t="n">
        <v>0.21</v>
      </c>
      <c r="K33" s="124" t="n">
        <v>0.21</v>
      </c>
    </row>
    <row r="34" customFormat="false" ht="15" hidden="false" customHeight="true" outlineLevel="0" collapsed="false">
      <c r="A34" s="51"/>
      <c r="B34" s="125"/>
      <c r="C34" s="51"/>
      <c r="D34" s="126"/>
      <c r="E34" s="126"/>
      <c r="F34" s="126"/>
      <c r="G34" s="108"/>
      <c r="H34" s="108"/>
      <c r="I34" s="108"/>
      <c r="J34" s="108"/>
      <c r="K34" s="113"/>
    </row>
    <row r="35" customFormat="false" ht="15" hidden="false" customHeight="true" outlineLevel="0" collapsed="false">
      <c r="A35" s="51"/>
      <c r="B35" s="127" t="s">
        <v>137</v>
      </c>
      <c r="C35" s="121"/>
      <c r="D35" s="128"/>
      <c r="E35" s="128"/>
      <c r="F35" s="128"/>
      <c r="G35" s="129"/>
      <c r="H35" s="129"/>
      <c r="I35" s="129"/>
      <c r="J35" s="129"/>
      <c r="K35" s="130"/>
    </row>
    <row r="36" customFormat="false" ht="15" hidden="false" customHeight="true" outlineLevel="0" collapsed="false">
      <c r="A36" s="51"/>
      <c r="D36" s="131"/>
      <c r="E36" s="131"/>
      <c r="F36" s="131"/>
      <c r="G36" s="132"/>
      <c r="H36" s="132"/>
      <c r="I36" s="132"/>
      <c r="J36" s="132"/>
      <c r="K36" s="132"/>
    </row>
    <row r="37" customFormat="false" ht="15" hidden="false" customHeight="true" outlineLevel="0" collapsed="false">
      <c r="A37" s="51"/>
    </row>
    <row r="38" customFormat="false" ht="15" hidden="false" customHeight="true" outlineLevel="0" collapsed="false">
      <c r="A38" s="51"/>
    </row>
    <row r="39" customFormat="false" ht="15" hidden="false" customHeight="true" outlineLevel="0" collapsed="false">
      <c r="A39" s="51"/>
    </row>
    <row r="40" customFormat="false" ht="15" hidden="false" customHeight="true" outlineLevel="0" collapsed="false">
      <c r="A40" s="51"/>
    </row>
    <row r="41" customFormat="false" ht="15" hidden="false" customHeight="true" outlineLevel="0" collapsed="false">
      <c r="A41" s="51"/>
    </row>
    <row r="42" customFormat="false" ht="15" hidden="false" customHeight="true" outlineLevel="0" collapsed="false">
      <c r="A42" s="51"/>
    </row>
    <row r="43" customFormat="false" ht="15" hidden="false" customHeight="true" outlineLevel="0" collapsed="false">
      <c r="A43" s="51"/>
    </row>
    <row r="44" customFormat="false" ht="15" hidden="false" customHeight="true" outlineLevel="0" collapsed="false">
      <c r="A44" s="51"/>
    </row>
    <row r="45" customFormat="false" ht="15" hidden="false" customHeight="true" outlineLevel="0" collapsed="false">
      <c r="A45" s="51"/>
    </row>
    <row r="46" customFormat="false" ht="15" hidden="false" customHeight="true" outlineLevel="0" collapsed="false">
      <c r="A46" s="51"/>
    </row>
    <row r="47" customFormat="false" ht="15" hidden="false" customHeight="true" outlineLevel="0" collapsed="false">
      <c r="A47" s="51"/>
    </row>
    <row r="48" customFormat="false" ht="15" hidden="false" customHeight="true" outlineLevel="0" collapsed="false">
      <c r="A48" s="51"/>
    </row>
    <row r="49" customFormat="false" ht="15" hidden="false" customHeight="true" outlineLevel="0" collapsed="false">
      <c r="A49" s="51"/>
    </row>
    <row r="50" customFormat="false" ht="15" hidden="false" customHeight="true" outlineLevel="0" collapsed="false">
      <c r="A50" s="51"/>
    </row>
    <row r="51" customFormat="false" ht="15" hidden="false" customHeight="true" outlineLevel="0" collapsed="false">
      <c r="A51" s="51"/>
    </row>
    <row r="52" customFormat="false" ht="15" hidden="false" customHeight="true" outlineLevel="0" collapsed="false">
      <c r="A52" s="51"/>
    </row>
    <row r="53" customFormat="false" ht="15" hidden="false" customHeight="true" outlineLevel="0" collapsed="false">
      <c r="A53" s="51"/>
    </row>
    <row r="54" customFormat="false" ht="15" hidden="false" customHeight="true" outlineLevel="0" collapsed="false">
      <c r="A54" s="51"/>
    </row>
    <row r="55" customFormat="false" ht="15" hidden="false" customHeight="true" outlineLevel="0" collapsed="false">
      <c r="A55" s="51"/>
    </row>
    <row r="56" customFormat="false" ht="15" hidden="false" customHeight="true" outlineLevel="0" collapsed="false">
      <c r="A56" s="51"/>
    </row>
    <row r="57" customFormat="false" ht="15" hidden="false" customHeight="true" outlineLevel="0" collapsed="false">
      <c r="A57" s="51"/>
    </row>
    <row r="58" customFormat="false" ht="15" hidden="false" customHeight="true" outlineLevel="0" collapsed="false">
      <c r="A58" s="51"/>
    </row>
    <row r="59" customFormat="false" ht="15" hidden="false" customHeight="true" outlineLevel="0" collapsed="false">
      <c r="A59" s="51"/>
    </row>
    <row r="60" customFormat="false" ht="15" hidden="false" customHeight="true" outlineLevel="0" collapsed="false">
      <c r="A60" s="51"/>
    </row>
    <row r="61" customFormat="false" ht="15" hidden="false" customHeight="true" outlineLevel="0" collapsed="false">
      <c r="A61" s="51"/>
    </row>
    <row r="62" customFormat="false" ht="15" hidden="false" customHeight="true" outlineLevel="0" collapsed="false">
      <c r="A62" s="51"/>
    </row>
    <row r="63" customFormat="false" ht="15" hidden="false" customHeight="true" outlineLevel="0" collapsed="false">
      <c r="A63" s="51"/>
    </row>
    <row r="64" customFormat="false" ht="15" hidden="false" customHeight="true" outlineLevel="0" collapsed="false">
      <c r="A64" s="51"/>
    </row>
    <row r="65" customFormat="false" ht="15" hidden="false" customHeight="true" outlineLevel="0" collapsed="false">
      <c r="A65" s="51"/>
    </row>
    <row r="66" customFormat="false" ht="15" hidden="false" customHeight="true" outlineLevel="0" collapsed="false">
      <c r="A66" s="51"/>
    </row>
    <row r="67" customFormat="false" ht="15" hidden="false" customHeight="true" outlineLevel="0" collapsed="false">
      <c r="A67" s="51"/>
    </row>
    <row r="68" customFormat="false" ht="15" hidden="false" customHeight="true" outlineLevel="0" collapsed="false">
      <c r="A68" s="51"/>
    </row>
    <row r="69" customFormat="false" ht="15" hidden="false" customHeight="true" outlineLevel="0" collapsed="false">
      <c r="A69" s="51"/>
    </row>
    <row r="70" customFormat="false" ht="15" hidden="false" customHeight="true" outlineLevel="0" collapsed="false">
      <c r="A70" s="51"/>
    </row>
    <row r="71" customFormat="false" ht="15" hidden="false" customHeight="true" outlineLevel="0" collapsed="false">
      <c r="A71" s="51"/>
    </row>
    <row r="72" customFormat="false" ht="15" hidden="false" customHeight="true" outlineLevel="0" collapsed="false">
      <c r="A72" s="51"/>
    </row>
    <row r="73" customFormat="false" ht="15" hidden="false" customHeight="true" outlineLevel="0" collapsed="false">
      <c r="A73" s="51"/>
    </row>
    <row r="74" customFormat="false" ht="15" hidden="false" customHeight="true" outlineLevel="0" collapsed="false">
      <c r="A74" s="51"/>
    </row>
    <row r="75" customFormat="false" ht="15" hidden="false" customHeight="true" outlineLevel="0" collapsed="false">
      <c r="A75" s="51"/>
    </row>
    <row r="76" customFormat="false" ht="15" hidden="false" customHeight="true" outlineLevel="0" collapsed="false">
      <c r="A76" s="51"/>
    </row>
    <row r="77" customFormat="false" ht="15" hidden="false" customHeight="true" outlineLevel="0" collapsed="false">
      <c r="A77" s="51"/>
    </row>
    <row r="78" customFormat="false" ht="15" hidden="false" customHeight="true" outlineLevel="0" collapsed="false">
      <c r="A78" s="51"/>
    </row>
    <row r="79" customFormat="false" ht="15" hidden="false" customHeight="true" outlineLevel="0" collapsed="false">
      <c r="A79" s="51"/>
    </row>
    <row r="80" customFormat="false" ht="15" hidden="false" customHeight="true" outlineLevel="0" collapsed="false">
      <c r="A80" s="51"/>
    </row>
    <row r="81" customFormat="false" ht="15" hidden="false" customHeight="true" outlineLevel="0" collapsed="false">
      <c r="A81" s="51"/>
    </row>
    <row r="82" customFormat="false" ht="15" hidden="false" customHeight="true" outlineLevel="0" collapsed="false">
      <c r="A82" s="51"/>
    </row>
    <row r="83" customFormat="false" ht="15" hidden="false" customHeight="true" outlineLevel="0" collapsed="false">
      <c r="A83" s="51"/>
    </row>
    <row r="84" customFormat="false" ht="15" hidden="false" customHeight="true" outlineLevel="0" collapsed="false">
      <c r="A84" s="51"/>
    </row>
    <row r="85" customFormat="false" ht="15" hidden="false" customHeight="true" outlineLevel="0" collapsed="false">
      <c r="A85" s="51"/>
    </row>
    <row r="86" customFormat="false" ht="15" hidden="false" customHeight="true" outlineLevel="0" collapsed="false">
      <c r="A86" s="51"/>
    </row>
    <row r="87" customFormat="false" ht="15" hidden="false" customHeight="true" outlineLevel="0" collapsed="false">
      <c r="A87" s="51"/>
    </row>
    <row r="88" customFormat="false" ht="15" hidden="false" customHeight="true" outlineLevel="0" collapsed="false">
      <c r="A88" s="51"/>
    </row>
    <row r="89" customFormat="false" ht="15" hidden="false" customHeight="true" outlineLevel="0" collapsed="false">
      <c r="A89" s="51"/>
    </row>
    <row r="90" customFormat="false" ht="15" hidden="false" customHeight="true" outlineLevel="0" collapsed="false">
      <c r="A90" s="51"/>
    </row>
    <row r="91" customFormat="false" ht="15" hidden="false" customHeight="true" outlineLevel="0" collapsed="false">
      <c r="A91" s="51"/>
    </row>
    <row r="92" customFormat="false" ht="15" hidden="false" customHeight="true" outlineLevel="0" collapsed="false">
      <c r="A92" s="51"/>
    </row>
    <row r="93" customFormat="false" ht="15" hidden="false" customHeight="true" outlineLevel="0" collapsed="false">
      <c r="A93" s="51"/>
    </row>
    <row r="94" customFormat="false" ht="15" hidden="false" customHeight="true" outlineLevel="0" collapsed="false">
      <c r="A94" s="51"/>
    </row>
    <row r="95" customFormat="false" ht="15" hidden="false" customHeight="true" outlineLevel="0" collapsed="false">
      <c r="A95" s="51"/>
    </row>
    <row r="96" customFormat="false" ht="15" hidden="false" customHeight="true" outlineLevel="0" collapsed="false">
      <c r="A96" s="51"/>
    </row>
    <row r="97" customFormat="false" ht="15" hidden="false" customHeight="true" outlineLevel="0" collapsed="false">
      <c r="A97" s="51"/>
    </row>
    <row r="98" customFormat="false" ht="15" hidden="false" customHeight="true" outlineLevel="0" collapsed="false">
      <c r="A98" s="51"/>
    </row>
    <row r="99" customFormat="false" ht="15" hidden="false" customHeight="true" outlineLevel="0" collapsed="false">
      <c r="A99" s="51"/>
    </row>
    <row r="100" customFormat="false" ht="15" hidden="false" customHeight="true" outlineLevel="0" collapsed="false">
      <c r="A100" s="51"/>
    </row>
    <row r="101" customFormat="false" ht="15" hidden="false" customHeight="true" outlineLevel="0" collapsed="false">
      <c r="A101" s="51"/>
    </row>
    <row r="102" customFormat="false" ht="15" hidden="false" customHeight="true" outlineLevel="0" collapsed="false">
      <c r="A102" s="51"/>
    </row>
    <row r="103" customFormat="false" ht="15" hidden="false" customHeight="true" outlineLevel="0" collapsed="false">
      <c r="A103" s="51"/>
    </row>
    <row r="104" customFormat="false" ht="15" hidden="false" customHeight="true" outlineLevel="0" collapsed="false">
      <c r="A104" s="51"/>
    </row>
    <row r="105" customFormat="false" ht="15" hidden="false" customHeight="true" outlineLevel="0" collapsed="false">
      <c r="A105" s="51"/>
    </row>
    <row r="106" customFormat="false" ht="15" hidden="false" customHeight="true" outlineLevel="0" collapsed="false">
      <c r="A106" s="51"/>
    </row>
    <row r="107" customFormat="false" ht="15" hidden="false" customHeight="true" outlineLevel="0" collapsed="false">
      <c r="A107" s="51"/>
    </row>
    <row r="108" customFormat="false" ht="15" hidden="false" customHeight="true" outlineLevel="0" collapsed="false">
      <c r="A108" s="51"/>
    </row>
    <row r="109" customFormat="false" ht="15" hidden="false" customHeight="true" outlineLevel="0" collapsed="false">
      <c r="A109" s="51"/>
    </row>
    <row r="110" customFormat="false" ht="15" hidden="false" customHeight="true" outlineLevel="0" collapsed="false">
      <c r="A110" s="51"/>
    </row>
    <row r="111" customFormat="false" ht="15" hidden="false" customHeight="true" outlineLevel="0" collapsed="false">
      <c r="A111" s="51"/>
    </row>
    <row r="112" customFormat="false" ht="15" hidden="false" customHeight="true" outlineLevel="0" collapsed="false">
      <c r="A112" s="51"/>
    </row>
    <row r="113" customFormat="false" ht="15" hidden="false" customHeight="true" outlineLevel="0" collapsed="false">
      <c r="A113" s="51"/>
    </row>
    <row r="114" customFormat="false" ht="15" hidden="false" customHeight="true" outlineLevel="0" collapsed="false">
      <c r="A114" s="51"/>
    </row>
    <row r="115" customFormat="false" ht="15" hidden="false" customHeight="true" outlineLevel="0" collapsed="false">
      <c r="A115" s="51"/>
    </row>
    <row r="116" customFormat="false" ht="15" hidden="false" customHeight="true" outlineLevel="0" collapsed="false">
      <c r="A116" s="51"/>
    </row>
    <row r="117" customFormat="false" ht="15" hidden="false" customHeight="true" outlineLevel="0" collapsed="false">
      <c r="A117" s="51"/>
    </row>
    <row r="118" customFormat="false" ht="15" hidden="false" customHeight="true" outlineLevel="0" collapsed="false">
      <c r="A118" s="51"/>
    </row>
    <row r="119" customFormat="false" ht="15" hidden="false" customHeight="true" outlineLevel="0" collapsed="false">
      <c r="A119" s="51"/>
    </row>
    <row r="120" customFormat="false" ht="15" hidden="false" customHeight="true" outlineLevel="0" collapsed="false">
      <c r="A120" s="51"/>
      <c r="L120" s="133"/>
    </row>
  </sheetData>
  <mergeCells count="2">
    <mergeCell ref="D7:F7"/>
    <mergeCell ref="G7:K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6"/>
  <sheetViews>
    <sheetView showFormulas="false" showGridLines="true" showRowColHeaders="true" showZeros="true" rightToLeft="false" tabSelected="false" showOutlineSymbols="true" defaultGridColor="true" view="normal" topLeftCell="A6" colorId="64" zoomScale="83" zoomScaleNormal="83" zoomScalePageLayoutView="100" workbookViewId="0">
      <selection pane="topLeft" activeCell="F23" activeCellId="0" sqref="F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3.42"/>
  </cols>
  <sheetData>
    <row r="1" customFormat="false" ht="15" hidden="false" customHeight="true" outlineLevel="0" collapsed="false">
      <c r="B1" s="52"/>
      <c r="C1" s="53"/>
      <c r="D1" s="53"/>
      <c r="E1" s="53"/>
      <c r="F1" s="53"/>
      <c r="G1" s="53"/>
      <c r="H1" s="53"/>
      <c r="I1" s="53"/>
      <c r="J1" s="53"/>
      <c r="K1" s="134"/>
    </row>
    <row r="2" customFormat="false" ht="15" hidden="false" customHeight="true" outlineLevel="0" collapsed="false">
      <c r="B2" s="52"/>
      <c r="C2" s="53"/>
      <c r="D2" s="53"/>
      <c r="E2" s="53"/>
      <c r="F2" s="53"/>
      <c r="G2" s="53"/>
      <c r="H2" s="53"/>
      <c r="I2" s="53"/>
      <c r="J2" s="53"/>
      <c r="K2" s="134"/>
    </row>
    <row r="3" customFormat="false" ht="15" hidden="false" customHeight="true" outlineLevel="0" collapsed="false">
      <c r="B3" s="64" t="s">
        <v>138</v>
      </c>
      <c r="C3" s="53"/>
      <c r="D3" s="53"/>
      <c r="E3" s="53"/>
      <c r="F3" s="53"/>
      <c r="G3" s="66" t="s">
        <v>109</v>
      </c>
      <c r="H3" s="66"/>
      <c r="I3" s="66"/>
      <c r="J3" s="66"/>
      <c r="K3" s="66"/>
    </row>
    <row r="4" customFormat="false" ht="15" hidden="false" customHeight="true" outlineLevel="0" collapsed="false">
      <c r="B4" s="67" t="s">
        <v>110</v>
      </c>
      <c r="C4" s="135"/>
      <c r="D4" s="74" t="s">
        <v>111</v>
      </c>
      <c r="E4" s="69" t="n">
        <v>45657</v>
      </c>
      <c r="F4" s="70" t="n">
        <f aca="false">EOMONTH(E4,12)</f>
        <v>46022</v>
      </c>
      <c r="G4" s="71" t="n">
        <f aca="false">EOMONTH(F4,12)</f>
        <v>46387</v>
      </c>
      <c r="H4" s="71" t="n">
        <f aca="false">EOMONTH(G4,12)</f>
        <v>46752</v>
      </c>
      <c r="I4" s="71" t="n">
        <f aca="false">EOMONTH(H4,12)</f>
        <v>47118</v>
      </c>
      <c r="J4" s="71" t="n">
        <f aca="false">EOMONTH(I4,12)</f>
        <v>47483</v>
      </c>
      <c r="K4" s="72" t="n">
        <f aca="false">EOMONTH(J4,12)</f>
        <v>47848</v>
      </c>
    </row>
    <row r="5" customFormat="false" ht="15" hidden="false" customHeight="true" outlineLevel="0" collapsed="false">
      <c r="B5" s="73"/>
      <c r="C5" s="136"/>
      <c r="D5" s="74" t="s">
        <v>139</v>
      </c>
      <c r="E5" s="137" t="s">
        <v>112</v>
      </c>
      <c r="F5" s="137" t="s">
        <v>112</v>
      </c>
      <c r="G5" s="137" t="s">
        <v>112</v>
      </c>
      <c r="H5" s="137" t="s">
        <v>112</v>
      </c>
      <c r="I5" s="137" t="s">
        <v>112</v>
      </c>
      <c r="J5" s="137" t="s">
        <v>112</v>
      </c>
      <c r="K5" s="137" t="s">
        <v>112</v>
      </c>
    </row>
    <row r="6" customFormat="false" ht="15" hidden="false" customHeight="true" outlineLevel="0" collapsed="false">
      <c r="B6" s="58" t="s">
        <v>140</v>
      </c>
      <c r="C6" s="51"/>
      <c r="D6" s="51"/>
      <c r="E6" s="51"/>
      <c r="F6" s="112"/>
      <c r="G6" s="51"/>
      <c r="H6" s="51"/>
      <c r="I6" s="51"/>
      <c r="J6" s="51"/>
      <c r="K6" s="59"/>
    </row>
    <row r="7" customFormat="false" ht="15" hidden="false" customHeight="true" outlineLevel="0" collapsed="false">
      <c r="B7" s="138" t="s">
        <v>68</v>
      </c>
      <c r="C7" s="51"/>
      <c r="D7" s="51"/>
      <c r="E7" s="93" t="n">
        <f aca="false">'Cash flows'!E27</f>
        <v>1086</v>
      </c>
      <c r="F7" s="94" t="n">
        <f aca="false">'Cash flows'!F27</f>
        <v>775</v>
      </c>
      <c r="G7" s="93" t="n">
        <f aca="false">AVERAGE(E7:F7)</f>
        <v>930.5</v>
      </c>
      <c r="H7" s="93" t="n">
        <f aca="false">AVERAGE(F7:G7)</f>
        <v>852.75</v>
      </c>
      <c r="I7" s="93" t="n">
        <f aca="false">AVERAGE(G7:H7)</f>
        <v>891.625</v>
      </c>
      <c r="J7" s="93" t="n">
        <f aca="false">AVERAGE(H7:I7)</f>
        <v>872.1875</v>
      </c>
      <c r="K7" s="95" t="n">
        <f aca="false">AVERAGE(I7:J7)</f>
        <v>881.90625</v>
      </c>
    </row>
    <row r="8" customFormat="false" ht="15" hidden="false" customHeight="true" outlineLevel="0" collapsed="false">
      <c r="B8" s="138" t="s">
        <v>69</v>
      </c>
      <c r="C8" s="51"/>
      <c r="D8" s="51"/>
      <c r="E8" s="93" t="n">
        <v>2383</v>
      </c>
      <c r="F8" s="94" t="n">
        <v>2466</v>
      </c>
      <c r="G8" s="93" t="n">
        <f aca="false">AVERAGE(E8:F8)</f>
        <v>2424.5</v>
      </c>
      <c r="H8" s="93" t="n">
        <f aca="false">AVERAGE(F8:G8)</f>
        <v>2445.25</v>
      </c>
      <c r="I8" s="93" t="n">
        <f aca="false">AVERAGE(G8:H8)</f>
        <v>2434.875</v>
      </c>
      <c r="J8" s="93" t="n">
        <f aca="false">AVERAGE(H8:I8)</f>
        <v>2440.0625</v>
      </c>
      <c r="K8" s="95" t="n">
        <f aca="false">AVERAGE(I8:J8)</f>
        <v>2437.46875</v>
      </c>
    </row>
    <row r="9" customFormat="false" ht="15" hidden="false" customHeight="true" outlineLevel="0" collapsed="false">
      <c r="B9" s="138" t="s">
        <v>141</v>
      </c>
      <c r="C9" s="51"/>
      <c r="D9" s="51"/>
      <c r="E9" s="93" t="n">
        <f aca="false">SUM(Sheet2!C76,Sheet2!C77)</f>
        <v>1130</v>
      </c>
      <c r="F9" s="94" t="n">
        <f aca="false">SUM(Sheet2!D76,Sheet2!D77)</f>
        <v>924</v>
      </c>
      <c r="G9" s="93" t="n">
        <f aca="false">AVERAGE(E9:F9)</f>
        <v>1027</v>
      </c>
      <c r="H9" s="93" t="n">
        <f aca="false">AVERAGE(F9:G9)</f>
        <v>975.5</v>
      </c>
      <c r="I9" s="93" t="n">
        <f aca="false">AVERAGE(G9:H9)</f>
        <v>1001.25</v>
      </c>
      <c r="J9" s="93" t="n">
        <f aca="false">AVERAGE(H9:I9)</f>
        <v>988.375</v>
      </c>
      <c r="K9" s="95" t="n">
        <f aca="false">AVERAGE(I9:J9)</f>
        <v>994.8125</v>
      </c>
    </row>
    <row r="10" customFormat="false" ht="15" hidden="false" customHeight="true" outlineLevel="0" collapsed="false">
      <c r="B10" s="138" t="s">
        <v>142</v>
      </c>
      <c r="C10" s="51"/>
      <c r="D10" s="51"/>
      <c r="E10" s="93" t="n">
        <f aca="false">Sheet2!C88</f>
        <v>25295</v>
      </c>
      <c r="F10" s="94" t="n">
        <f aca="false">Sheet2!D88</f>
        <v>28241</v>
      </c>
      <c r="G10" s="93" t="n">
        <f aca="false">AVERAGE(E10:F10)</f>
        <v>26768</v>
      </c>
      <c r="H10" s="93" t="n">
        <f aca="false">AVERAGE(F10:G10)</f>
        <v>27504.5</v>
      </c>
      <c r="I10" s="93" t="n">
        <f aca="false">AVERAGE(G10:H10)</f>
        <v>27136.25</v>
      </c>
      <c r="J10" s="93" t="n">
        <f aca="false">AVERAGE(H10:I10)</f>
        <v>27320.375</v>
      </c>
      <c r="K10" s="95" t="n">
        <f aca="false">AVERAGE(I10:J10)</f>
        <v>27228.3125</v>
      </c>
    </row>
    <row r="11" customFormat="false" ht="15" hidden="false" customHeight="true" outlineLevel="0" collapsed="false">
      <c r="B11" s="138" t="s">
        <v>143</v>
      </c>
      <c r="C11" s="51"/>
      <c r="D11" s="51"/>
      <c r="E11" s="93" t="n">
        <f aca="false">SUM(Sheet2!C84)</f>
        <v>13339</v>
      </c>
      <c r="F11" s="94" t="n">
        <f aca="false">SUM(Sheet2!D84)</f>
        <v>14606</v>
      </c>
      <c r="G11" s="93" t="n">
        <f aca="false">AVERAGE(E11:F11)</f>
        <v>13972.5</v>
      </c>
      <c r="H11" s="93" t="n">
        <f aca="false">AVERAGE(F11:G11)</f>
        <v>14289.25</v>
      </c>
      <c r="I11" s="93" t="n">
        <f aca="false">AVERAGE(G11:H11)</f>
        <v>14130.875</v>
      </c>
      <c r="J11" s="93" t="n">
        <f aca="false">AVERAGE(H11:I11)</f>
        <v>14210.0625</v>
      </c>
      <c r="K11" s="95" t="n">
        <f aca="false">AVERAGE(I11:J11)</f>
        <v>14170.46875</v>
      </c>
    </row>
    <row r="12" customFormat="false" ht="15" hidden="false" customHeight="true" outlineLevel="0" collapsed="false">
      <c r="B12" s="138" t="s">
        <v>73</v>
      </c>
      <c r="C12" s="51"/>
      <c r="D12" s="51"/>
      <c r="E12" s="93" t="n">
        <f aca="false">SUM(Sheet2!C83)</f>
        <v>11950</v>
      </c>
      <c r="F12" s="94" t="n">
        <f aca="false">SUM(Sheet2!D83)</f>
        <v>12505</v>
      </c>
      <c r="G12" s="93" t="n">
        <f aca="false">AVERAGE(E12:F12)</f>
        <v>12227.5</v>
      </c>
      <c r="H12" s="93" t="n">
        <f aca="false">AVERAGE(F12:G12)</f>
        <v>12366.25</v>
      </c>
      <c r="I12" s="93" t="n">
        <f aca="false">AVERAGE(G12:H12)</f>
        <v>12296.875</v>
      </c>
      <c r="J12" s="93" t="n">
        <f aca="false">AVERAGE(H12:I12)</f>
        <v>12331.5625</v>
      </c>
      <c r="K12" s="95" t="n">
        <f aca="false">AVERAGE(I12:J12)</f>
        <v>12314.21875</v>
      </c>
    </row>
    <row r="13" customFormat="false" ht="15" hidden="false" customHeight="true" outlineLevel="0" collapsed="false">
      <c r="B13" s="139" t="s">
        <v>83</v>
      </c>
      <c r="C13" s="140"/>
      <c r="D13" s="140"/>
      <c r="E13" s="103" t="n">
        <f aca="false">SUM(E7:E12)</f>
        <v>55183</v>
      </c>
      <c r="F13" s="104" t="n">
        <f aca="false">SUM(F7:F12)</f>
        <v>59517</v>
      </c>
      <c r="G13" s="103" t="n">
        <f aca="false">SUM(G7:G12)</f>
        <v>57350</v>
      </c>
      <c r="H13" s="103" t="n">
        <f aca="false">SUM(H7:H12)</f>
        <v>58433.5</v>
      </c>
      <c r="I13" s="103" t="n">
        <f aca="false">SUM(I7:I12)</f>
        <v>57891.75</v>
      </c>
      <c r="J13" s="103" t="n">
        <f aca="false">SUM(J7:J12)</f>
        <v>58162.625</v>
      </c>
      <c r="K13" s="105" t="n">
        <f aca="false">SUM(K7:K12)</f>
        <v>58027.1875</v>
      </c>
    </row>
    <row r="14" customFormat="false" ht="15" hidden="false" customHeight="true" outlineLevel="0" collapsed="false">
      <c r="B14" s="58" t="s">
        <v>144</v>
      </c>
      <c r="C14" s="51"/>
      <c r="D14" s="51"/>
      <c r="E14" s="93"/>
      <c r="F14" s="94"/>
      <c r="G14" s="93"/>
      <c r="H14" s="93"/>
      <c r="I14" s="93"/>
      <c r="J14" s="93"/>
      <c r="K14" s="95"/>
    </row>
    <row r="15" customFormat="false" ht="15" hidden="false" customHeight="true" outlineLevel="0" collapsed="false">
      <c r="B15" s="138" t="s">
        <v>41</v>
      </c>
      <c r="C15" s="51"/>
      <c r="D15" s="51"/>
      <c r="E15" s="93" t="n">
        <f aca="false">Sheet2!C91</f>
        <v>1029</v>
      </c>
      <c r="F15" s="94" t="n">
        <f aca="false">Sheet2!D91</f>
        <v>1149</v>
      </c>
      <c r="G15" s="93" t="n">
        <f aca="false">AVERAGE(E15:F15)</f>
        <v>1089</v>
      </c>
      <c r="H15" s="93" t="n">
        <f aca="false">AVERAGE(F15:G15)</f>
        <v>1119</v>
      </c>
      <c r="I15" s="93" t="n">
        <f aca="false">AVERAGE(G15:H15)</f>
        <v>1104</v>
      </c>
      <c r="J15" s="93" t="n">
        <f aca="false">AVERAGE(H15:I15)</f>
        <v>1111.5</v>
      </c>
      <c r="K15" s="95" t="n">
        <f aca="false">AVERAGE(I15:J15)</f>
        <v>1107.75</v>
      </c>
    </row>
    <row r="16" customFormat="false" ht="15" hidden="false" customHeight="true" outlineLevel="0" collapsed="false">
      <c r="B16" s="138" t="s">
        <v>145</v>
      </c>
      <c r="C16" s="51"/>
      <c r="D16" s="51"/>
      <c r="E16" s="93" t="n">
        <f aca="false">SUM(Sheet2!C93:C96)</f>
        <v>2196</v>
      </c>
      <c r="F16" s="94" t="n">
        <f aca="false">SUM(Sheet2!D93:D96)</f>
        <v>2518</v>
      </c>
      <c r="G16" s="93" t="n">
        <f aca="false">AVERAGE(E16:F16)</f>
        <v>2357</v>
      </c>
      <c r="H16" s="93" t="n">
        <f aca="false">AVERAGE(F16:G16)</f>
        <v>2437.5</v>
      </c>
      <c r="I16" s="93" t="n">
        <f aca="false">AVERAGE(G16:H16)</f>
        <v>2397.25</v>
      </c>
      <c r="J16" s="93" t="n">
        <f aca="false">AVERAGE(H16:I16)</f>
        <v>2417.375</v>
      </c>
      <c r="K16" s="95" t="n">
        <f aca="false">AVERAGE(I16:J16)</f>
        <v>2407.3125</v>
      </c>
    </row>
    <row r="17" customFormat="false" ht="15" hidden="false" customHeight="true" outlineLevel="0" collapsed="false">
      <c r="B17" s="138" t="s">
        <v>85</v>
      </c>
      <c r="C17" s="51"/>
      <c r="D17" s="93"/>
      <c r="E17" s="93" t="n">
        <f aca="false">Sheet2!C92</f>
        <v>636</v>
      </c>
      <c r="F17" s="94" t="n">
        <f aca="false">Sheet2!D92</f>
        <v>694</v>
      </c>
      <c r="G17" s="93" t="n">
        <f aca="false">AVERAGE(E17:F17)</f>
        <v>665</v>
      </c>
      <c r="H17" s="93" t="n">
        <f aca="false">AVERAGE(F17:G17)</f>
        <v>679.5</v>
      </c>
      <c r="I17" s="93" t="n">
        <f aca="false">AVERAGE(G17:H17)</f>
        <v>672.25</v>
      </c>
      <c r="J17" s="93" t="n">
        <f aca="false">AVERAGE(H17:I17)</f>
        <v>675.875</v>
      </c>
      <c r="K17" s="95" t="n">
        <f aca="false">AVERAGE(I17:J17)</f>
        <v>674.0625</v>
      </c>
    </row>
    <row r="18" customFormat="false" ht="15" hidden="false" customHeight="true" outlineLevel="0" collapsed="false">
      <c r="B18" s="138" t="s">
        <v>146</v>
      </c>
      <c r="C18" s="51"/>
      <c r="D18" s="51"/>
      <c r="E18" s="93" t="n">
        <f aca="false">SUM(Sheet2!C98,)</f>
        <v>38424</v>
      </c>
      <c r="F18" s="94" t="n">
        <f aca="false">SUM(Sheet2!D98,)</f>
        <v>39973</v>
      </c>
      <c r="G18" s="93" t="n">
        <f aca="false">AVERAGE(E18:F18)</f>
        <v>39198.5</v>
      </c>
      <c r="H18" s="93" t="n">
        <f aca="false">AVERAGE(F18:G18)</f>
        <v>39585.75</v>
      </c>
      <c r="I18" s="93" t="n">
        <f aca="false">AVERAGE(G18:H18)</f>
        <v>39392.125</v>
      </c>
      <c r="J18" s="93" t="n">
        <f aca="false">AVERAGE(H18:I18)</f>
        <v>39488.9375</v>
      </c>
      <c r="K18" s="95" t="n">
        <f aca="false">AVERAGE(I18:J18)</f>
        <v>39440.53125</v>
      </c>
    </row>
    <row r="19" customFormat="false" ht="15" hidden="false" customHeight="true" outlineLevel="0" collapsed="false">
      <c r="B19" s="138" t="s">
        <v>147</v>
      </c>
      <c r="C19" s="51"/>
      <c r="D19" s="51"/>
      <c r="E19" s="93" t="n">
        <f aca="false">SUM(Sheet2!C99:C101,Sheet2!C103)</f>
        <v>15924</v>
      </c>
      <c r="F19" s="94" t="n">
        <f aca="false">SUM(Sheet2!D99:D101,Sheet2!D103)</f>
        <v>16269</v>
      </c>
      <c r="G19" s="93" t="n">
        <f aca="false">AVERAGE(E19:F19)</f>
        <v>16096.5</v>
      </c>
      <c r="H19" s="93" t="n">
        <f aca="false">AVERAGE(F19:G19)</f>
        <v>16182.75</v>
      </c>
      <c r="I19" s="93" t="n">
        <f aca="false">AVERAGE(G19:H19)</f>
        <v>16139.625</v>
      </c>
      <c r="J19" s="93" t="n">
        <f aca="false">AVERAGE(H19:I19)</f>
        <v>16161.1875</v>
      </c>
      <c r="K19" s="95" t="n">
        <f aca="false">AVERAGE(I19:J19)</f>
        <v>16150.40625</v>
      </c>
    </row>
    <row r="20" customFormat="false" ht="15" hidden="false" customHeight="true" outlineLevel="0" collapsed="false">
      <c r="B20" s="138" t="s">
        <v>148</v>
      </c>
      <c r="C20" s="51"/>
      <c r="D20" s="51"/>
      <c r="E20" s="93" t="n">
        <f aca="false">Sheet2!C102</f>
        <v>771</v>
      </c>
      <c r="F20" s="94" t="n">
        <f aca="false">Sheet2!D102</f>
        <v>704</v>
      </c>
      <c r="G20" s="93" t="n">
        <f aca="false">AVERAGE(E20:F20)</f>
        <v>737.5</v>
      </c>
      <c r="H20" s="93" t="n">
        <f aca="false">AVERAGE(F20:G20)</f>
        <v>720.75</v>
      </c>
      <c r="I20" s="93" t="n">
        <f aca="false">AVERAGE(G20:H20)</f>
        <v>729.125</v>
      </c>
      <c r="J20" s="93" t="n">
        <f aca="false">AVERAGE(H20:I20)</f>
        <v>724.9375</v>
      </c>
      <c r="K20" s="95" t="n">
        <f aca="false">AVERAGE(I20:J20)</f>
        <v>727.03125</v>
      </c>
    </row>
    <row r="21" customFormat="false" ht="15" hidden="false" customHeight="true" outlineLevel="0" collapsed="false">
      <c r="B21" s="141" t="s">
        <v>149</v>
      </c>
      <c r="C21" s="142"/>
      <c r="D21" s="142"/>
      <c r="E21" s="143" t="n">
        <f aca="false">SUM(E15:E20)</f>
        <v>58980</v>
      </c>
      <c r="F21" s="144" t="n">
        <f aca="false">SUM(F15:F20)</f>
        <v>61307</v>
      </c>
      <c r="G21" s="143" t="n">
        <f aca="false">SUM(G15:G20)</f>
        <v>60143.5</v>
      </c>
      <c r="H21" s="143" t="n">
        <f aca="false">SUM(H15:H20)</f>
        <v>60725.25</v>
      </c>
      <c r="I21" s="143" t="n">
        <f aca="false">SUM(I15:I20)</f>
        <v>60434.375</v>
      </c>
      <c r="J21" s="143" t="n">
        <f aca="false">SUM(J15:J20)</f>
        <v>60579.8125</v>
      </c>
      <c r="K21" s="145" t="n">
        <f aca="false">SUM(K15:K20)</f>
        <v>60507.09375</v>
      </c>
    </row>
    <row r="22" customFormat="false" ht="15" hidden="false" customHeight="true" outlineLevel="0" collapsed="false">
      <c r="B22" s="58"/>
      <c r="C22" s="51"/>
      <c r="D22" s="51"/>
      <c r="E22" s="80"/>
      <c r="F22" s="81"/>
      <c r="G22" s="80"/>
      <c r="H22" s="80"/>
      <c r="I22" s="80"/>
      <c r="J22" s="80"/>
      <c r="K22" s="90"/>
    </row>
    <row r="23" customFormat="false" ht="15" hidden="false" customHeight="true" outlineLevel="0" collapsed="false">
      <c r="B23" s="138" t="s">
        <v>150</v>
      </c>
      <c r="C23" s="51"/>
      <c r="D23" s="51"/>
      <c r="E23" s="93" t="n">
        <f aca="false">Sheet2!C111</f>
        <v>-3797</v>
      </c>
      <c r="F23" s="94" t="n">
        <f aca="false">Sheet2!D111</f>
        <v>-1791</v>
      </c>
      <c r="G23" s="93" t="n">
        <f aca="false">AVERAGE(E23:F23)</f>
        <v>-2794</v>
      </c>
      <c r="H23" s="93" t="n">
        <f aca="false">AVERAGE(F23:G23)</f>
        <v>-2292.5</v>
      </c>
      <c r="I23" s="93" t="n">
        <f aca="false">AVERAGE(G23:H23)</f>
        <v>-2543.25</v>
      </c>
      <c r="J23" s="93" t="n">
        <f aca="false">AVERAGE(H23:I23)</f>
        <v>-2417.875</v>
      </c>
      <c r="K23" s="95" t="n">
        <f aca="false">AVERAGE(I23:J23)</f>
        <v>-2480.5625</v>
      </c>
    </row>
    <row r="24" customFormat="false" ht="15" hidden="false" customHeight="true" outlineLevel="0" collapsed="false">
      <c r="B24" s="146" t="s">
        <v>103</v>
      </c>
      <c r="C24" s="147"/>
      <c r="D24" s="147"/>
      <c r="E24" s="148" t="n">
        <f aca="false">SUM(E21:E23)</f>
        <v>55183</v>
      </c>
      <c r="F24" s="149" t="n">
        <f aca="false">SUM(F21:F23)</f>
        <v>59516</v>
      </c>
      <c r="G24" s="148" t="n">
        <f aca="false">SUM(G21:G23)</f>
        <v>57349.5</v>
      </c>
      <c r="H24" s="148" t="n">
        <f aca="false">SUM(H21:H23)</f>
        <v>58432.75</v>
      </c>
      <c r="I24" s="148" t="n">
        <f aca="false">SUM(I21:I23)</f>
        <v>57891.125</v>
      </c>
      <c r="J24" s="148" t="n">
        <f aca="false">SUM(J21:J23)</f>
        <v>58161.9375</v>
      </c>
      <c r="K24" s="150" t="n">
        <f aca="false">SUM(K21:K23)</f>
        <v>58026.53125</v>
      </c>
    </row>
    <row r="26" customFormat="false" ht="15" hidden="false" customHeight="true" outlineLevel="0" collapsed="false">
      <c r="E26" s="151"/>
      <c r="F26" s="151"/>
      <c r="G26" s="151"/>
      <c r="H26" s="151"/>
      <c r="I26" s="151"/>
      <c r="J26" s="151"/>
      <c r="K26" s="151"/>
    </row>
  </sheetData>
  <mergeCells count="1"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1"/>
  <sheetViews>
    <sheetView showFormulas="false" showGridLines="true" showRowColHeaders="true" showZeros="true" rightToLeft="false" tabSelected="false" showOutlineSymbols="true" defaultGridColor="true" view="normal" topLeftCell="A17" colorId="64" zoomScale="89" zoomScaleNormal="89" zoomScalePageLayoutView="100" workbookViewId="0">
      <selection pane="topLeft" activeCell="M15" activeCellId="0" sqref="M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.29"/>
    <col collapsed="false" customWidth="true" hidden="false" outlineLevel="0" max="3" min="3" style="1" width="5.71"/>
    <col collapsed="false" customWidth="true" hidden="false" outlineLevel="0" max="5" min="4" style="1" width="8"/>
    <col collapsed="false" customWidth="true" hidden="false" outlineLevel="0" max="11" min="6" style="1" width="8.42"/>
  </cols>
  <sheetData>
    <row r="1" customFormat="false" ht="15" hidden="false" customHeight="true" outlineLevel="0" collapsed="false">
      <c r="B1" s="52"/>
      <c r="C1" s="53"/>
      <c r="D1" s="53"/>
      <c r="E1" s="53"/>
      <c r="F1" s="53"/>
      <c r="G1" s="53"/>
      <c r="H1" s="53"/>
      <c r="I1" s="53"/>
      <c r="J1" s="53"/>
      <c r="K1" s="54"/>
    </row>
    <row r="2" customFormat="false" ht="15" hidden="false" customHeight="true" outlineLevel="0" collapsed="false">
      <c r="B2" s="52"/>
      <c r="C2" s="53"/>
      <c r="D2" s="53"/>
      <c r="E2" s="53"/>
      <c r="F2" s="53"/>
      <c r="G2" s="53"/>
      <c r="H2" s="53"/>
      <c r="I2" s="53"/>
      <c r="J2" s="53"/>
      <c r="K2" s="54"/>
    </row>
    <row r="3" customFormat="false" ht="15" hidden="false" customHeight="true" outlineLevel="0" collapsed="false">
      <c r="B3" s="64" t="s">
        <v>151</v>
      </c>
      <c r="C3" s="53"/>
      <c r="D3" s="53"/>
      <c r="E3" s="53"/>
      <c r="F3" s="53"/>
      <c r="G3" s="66" t="s">
        <v>109</v>
      </c>
      <c r="H3" s="66"/>
      <c r="I3" s="66"/>
      <c r="J3" s="66"/>
      <c r="K3" s="66"/>
    </row>
    <row r="4" customFormat="false" ht="15" hidden="false" customHeight="true" outlineLevel="0" collapsed="false">
      <c r="B4" s="67" t="s">
        <v>110</v>
      </c>
      <c r="C4" s="68" t="s">
        <v>111</v>
      </c>
      <c r="D4" s="69" t="n">
        <v>45291</v>
      </c>
      <c r="E4" s="69" t="n">
        <f aca="false">EOMONTH(D4,12)</f>
        <v>45657</v>
      </c>
      <c r="F4" s="70" t="n">
        <f aca="false">EOMONTH(E4,12)</f>
        <v>46022</v>
      </c>
      <c r="G4" s="71" t="n">
        <f aca="false">EOMONTH(F4,12)</f>
        <v>46387</v>
      </c>
      <c r="H4" s="71" t="n">
        <f aca="false">EOMONTH(G4,12)</f>
        <v>46752</v>
      </c>
      <c r="I4" s="71" t="n">
        <f aca="false">EOMONTH(H4,12)</f>
        <v>47118</v>
      </c>
      <c r="J4" s="71" t="n">
        <f aca="false">EOMONTH(I4,12)</f>
        <v>47483</v>
      </c>
      <c r="K4" s="72" t="n">
        <f aca="false">EOMONTH(J4,12)</f>
        <v>47848</v>
      </c>
    </row>
    <row r="5" customFormat="false" ht="15" hidden="false" customHeight="true" outlineLevel="0" collapsed="false">
      <c r="B5" s="73"/>
      <c r="C5" s="74" t="s">
        <v>139</v>
      </c>
      <c r="D5" s="137"/>
      <c r="E5" s="137"/>
      <c r="F5" s="152"/>
      <c r="G5" s="153"/>
      <c r="H5" s="153"/>
      <c r="I5" s="153"/>
      <c r="J5" s="153"/>
      <c r="K5" s="154"/>
    </row>
    <row r="6" customFormat="false" ht="15" hidden="false" customHeight="true" outlineLevel="0" collapsed="false">
      <c r="B6" s="155" t="s">
        <v>152</v>
      </c>
      <c r="D6" s="106"/>
      <c r="E6" s="106"/>
      <c r="F6" s="107"/>
      <c r="G6" s="156"/>
      <c r="H6" s="156"/>
      <c r="I6" s="156"/>
      <c r="J6" s="156"/>
      <c r="K6" s="157"/>
    </row>
    <row r="7" customFormat="false" ht="15" hidden="false" customHeight="true" outlineLevel="0" collapsed="false">
      <c r="B7" s="138" t="s">
        <v>124</v>
      </c>
      <c r="C7" s="51"/>
      <c r="D7" s="93" t="n">
        <f aca="false">'Income Statement'!D20</f>
        <v>8469</v>
      </c>
      <c r="E7" s="93" t="n">
        <f aca="false">'Income Statement'!E20</f>
        <v>8224</v>
      </c>
      <c r="F7" s="94" t="n">
        <f aca="false">'Income Statement'!F20</f>
        <v>8563</v>
      </c>
      <c r="G7" s="93" t="n">
        <f aca="false">'Income Statement'!G20</f>
        <v>8702.91924429628</v>
      </c>
      <c r="H7" s="93" t="n">
        <f aca="false">'Income Statement'!H20</f>
        <v>8892.97015769999</v>
      </c>
      <c r="I7" s="93" t="n">
        <f aca="false">'Income Statement'!I20</f>
        <v>9151.82412440194</v>
      </c>
      <c r="J7" s="93" t="n">
        <f aca="false">'Income Statement'!J20</f>
        <v>9365.30045036857</v>
      </c>
      <c r="K7" s="95" t="n">
        <f aca="false">'Income Statement'!K20</f>
        <v>9597.10549624382</v>
      </c>
    </row>
    <row r="8" customFormat="false" ht="15" hidden="false" customHeight="true" outlineLevel="0" collapsed="false">
      <c r="B8" s="138" t="s">
        <v>153</v>
      </c>
      <c r="C8" s="51"/>
      <c r="D8" s="93" t="n">
        <f aca="false">Sheet2!B35</f>
        <v>1978</v>
      </c>
      <c r="E8" s="93" t="n">
        <f aca="false">Sheet2!C35</f>
        <v>2097</v>
      </c>
      <c r="F8" s="94" t="n">
        <f aca="false">Sheet2!D35</f>
        <v>2199</v>
      </c>
      <c r="G8" s="93" t="n">
        <f aca="false">'Income Statement'!G30*'Income Statement'!G10</f>
        <v>2207.16479948237</v>
      </c>
      <c r="H8" s="93" t="n">
        <f aca="false">'Income Statement'!H30*'Income Statement'!H10</f>
        <v>2290.58997259443</v>
      </c>
      <c r="I8" s="93" t="n">
        <f aca="false">'Income Statement'!I30*'Income Statement'!I10</f>
        <v>2376.80692636241</v>
      </c>
      <c r="J8" s="93" t="n">
        <f aca="false">'Income Statement'!J30*'Income Statement'!J10</f>
        <v>2465.90310908593</v>
      </c>
      <c r="K8" s="95" t="n">
        <f aca="false">'Income Statement'!K30*'Income Statement'!K10</f>
        <v>2557.96859661664</v>
      </c>
    </row>
    <row r="9" customFormat="false" ht="15" hidden="false" customHeight="true" outlineLevel="0" collapsed="false">
      <c r="B9" s="138" t="s">
        <v>154</v>
      </c>
      <c r="C9" s="51"/>
      <c r="D9" s="93" t="n">
        <f aca="false">SUM(Sheet2!B36:B39)</f>
        <v>-727</v>
      </c>
      <c r="E9" s="93" t="n">
        <f aca="false">SUM(Sheet2!C36:C39)</f>
        <v>-436</v>
      </c>
      <c r="F9" s="94" t="n">
        <f aca="false">SUM(Sheet2!D36:D39)</f>
        <v>-317</v>
      </c>
      <c r="G9" s="93" t="n">
        <f aca="false">AVERAGE(D9:F9)</f>
        <v>-493.333333333333</v>
      </c>
      <c r="H9" s="93" t="n">
        <v>-105.666666666667</v>
      </c>
      <c r="I9" s="93" t="n">
        <v>-105.666666666667</v>
      </c>
      <c r="J9" s="93" t="n">
        <v>-105.666666666667</v>
      </c>
      <c r="K9" s="95" t="n">
        <v>-105.666666666667</v>
      </c>
    </row>
    <row r="10" customFormat="false" ht="15" hidden="false" customHeight="true" outlineLevel="0" collapsed="false">
      <c r="B10" s="138" t="s">
        <v>38</v>
      </c>
      <c r="C10" s="51"/>
      <c r="D10" s="93" t="n">
        <f aca="false">SUM(Sheet2!B41:B45)</f>
        <v>-108</v>
      </c>
      <c r="E10" s="93" t="n">
        <f aca="false">SUM(Sheet2!C41:C45)</f>
        <v>-438</v>
      </c>
      <c r="F10" s="94" t="n">
        <f aca="false">SUM(Sheet2!D41:D45)</f>
        <v>106</v>
      </c>
      <c r="G10" s="93" t="n">
        <f aca="false">AVERAGE(D10:F10)</f>
        <v>-146.666666666667</v>
      </c>
      <c r="H10" s="93" t="n">
        <f aca="false">AVERAGE(E10:G10)</f>
        <v>-159.555555555556</v>
      </c>
      <c r="I10" s="93" t="n">
        <f aca="false">AVERAGE(F10:H10)</f>
        <v>-66.7407407407407</v>
      </c>
      <c r="J10" s="93" t="n">
        <f aca="false">AVERAGE(G10:I10)</f>
        <v>-124.320987654321</v>
      </c>
      <c r="K10" s="87" t="n">
        <f aca="false">AVERAGE(H10:J10)</f>
        <v>-116.872427983539</v>
      </c>
    </row>
    <row r="11" customFormat="false" ht="15" hidden="false" customHeight="true" outlineLevel="0" collapsed="false">
      <c r="B11" s="139" t="s">
        <v>44</v>
      </c>
      <c r="C11" s="140"/>
      <c r="D11" s="103" t="n">
        <f aca="false">SUM(D7:D10)</f>
        <v>9612</v>
      </c>
      <c r="E11" s="103" t="n">
        <f aca="false">SUM(E7:E10)</f>
        <v>9447</v>
      </c>
      <c r="F11" s="104" t="n">
        <f aca="false">SUM(F7:F10)</f>
        <v>10551</v>
      </c>
      <c r="G11" s="103" t="n">
        <f aca="false">SUM(G7:G10)</f>
        <v>10270.0840437786</v>
      </c>
      <c r="H11" s="103" t="n">
        <f aca="false">SUM(H7:H10)</f>
        <v>10918.3379080722</v>
      </c>
      <c r="I11" s="103" t="n">
        <f aca="false">SUM(I7:I10)</f>
        <v>11356.2236433569</v>
      </c>
      <c r="J11" s="103" t="n">
        <f aca="false">SUM(J7:J10)</f>
        <v>11601.2159051335</v>
      </c>
      <c r="K11" s="105" t="n">
        <f aca="false">SUM(K7:K10)</f>
        <v>11932.5349982103</v>
      </c>
    </row>
    <row r="12" customFormat="false" ht="15" hidden="false" customHeight="true" outlineLevel="0" collapsed="false">
      <c r="B12" s="158" t="s">
        <v>155</v>
      </c>
      <c r="C12" s="51"/>
      <c r="D12" s="93"/>
      <c r="E12" s="93"/>
      <c r="F12" s="94"/>
      <c r="G12" s="93"/>
      <c r="H12" s="93"/>
      <c r="I12" s="93"/>
      <c r="J12" s="93"/>
      <c r="K12" s="159"/>
    </row>
    <row r="13" customFormat="false" ht="15" hidden="false" customHeight="true" outlineLevel="0" collapsed="false">
      <c r="B13" s="138" t="s">
        <v>46</v>
      </c>
      <c r="C13" s="51"/>
      <c r="D13" s="93" t="n">
        <v>-2357</v>
      </c>
      <c r="E13" s="93" t="n">
        <v>-2775</v>
      </c>
      <c r="F13" s="94" t="n">
        <v>-3365</v>
      </c>
      <c r="G13" s="93" t="n">
        <v>-3700</v>
      </c>
      <c r="H13" s="93" t="n">
        <f aca="false">G13-300</f>
        <v>-4000</v>
      </c>
      <c r="I13" s="93" t="n">
        <f aca="false">H13-300</f>
        <v>-4300</v>
      </c>
      <c r="J13" s="93" t="n">
        <f aca="false">I13-300</f>
        <v>-4600</v>
      </c>
      <c r="K13" s="95" t="n">
        <f aca="false">J13-300</f>
        <v>-4900</v>
      </c>
    </row>
    <row r="14" customFormat="false" ht="15" hidden="false" customHeight="true" outlineLevel="0" collapsed="false">
      <c r="B14" s="138" t="s">
        <v>156</v>
      </c>
      <c r="C14" s="51"/>
      <c r="D14" s="93" t="n">
        <f aca="false">SUM(Sheet2!B49:B53)</f>
        <v>-827</v>
      </c>
      <c r="E14" s="93" t="n">
        <f aca="false">SUM(Sheet2!C49:C53)</f>
        <v>-2571</v>
      </c>
      <c r="F14" s="94" t="n">
        <f aca="false">SUM(Sheet2!D49:D53)</f>
        <v>-457</v>
      </c>
      <c r="G14" s="93" t="n">
        <f aca="false">AVERAGE(D14:F14)</f>
        <v>-1285</v>
      </c>
      <c r="H14" s="93" t="n">
        <f aca="false">AVERAGE(E14:G14)</f>
        <v>-1437.66666666667</v>
      </c>
      <c r="I14" s="93" t="n">
        <f aca="false">AVERAGE(F14:H14)</f>
        <v>-1059.88888888889</v>
      </c>
      <c r="J14" s="93" t="n">
        <f aca="false">AVERAGE(G14:I14)</f>
        <v>-1260.85185185185</v>
      </c>
      <c r="K14" s="95" t="n">
        <f aca="false">AVERAGE(H14:J14)</f>
        <v>-1252.8024691358</v>
      </c>
    </row>
    <row r="15" customFormat="false" ht="15" hidden="false" customHeight="true" outlineLevel="0" collapsed="false">
      <c r="B15" s="139" t="s">
        <v>51</v>
      </c>
      <c r="C15" s="160"/>
      <c r="D15" s="103" t="n">
        <f aca="false">SUM(D13:D14)</f>
        <v>-3184</v>
      </c>
      <c r="E15" s="103" t="n">
        <f aca="false">SUM(E13:E14)</f>
        <v>-5346</v>
      </c>
      <c r="F15" s="104" t="n">
        <f aca="false">SUM(F13:F14)</f>
        <v>-3822</v>
      </c>
      <c r="G15" s="103" t="n">
        <f aca="false">SUM(G13:G14)</f>
        <v>-4985</v>
      </c>
      <c r="H15" s="103" t="n">
        <f aca="false">SUM(H13:H14)</f>
        <v>-5437.66666666667</v>
      </c>
      <c r="I15" s="103" t="n">
        <f aca="false">SUM(I13:I14)</f>
        <v>-5359.88888888889</v>
      </c>
      <c r="J15" s="103" t="n">
        <f aca="false">SUM(J13:J14)</f>
        <v>-5860.85185185185</v>
      </c>
      <c r="K15" s="105" t="n">
        <f aca="false">SUM(K13:K14)</f>
        <v>-6152.8024691358</v>
      </c>
    </row>
    <row r="16" customFormat="false" ht="15" hidden="false" customHeight="true" outlineLevel="0" collapsed="false">
      <c r="B16" s="158" t="s">
        <v>52</v>
      </c>
      <c r="C16" s="51"/>
      <c r="D16" s="93"/>
      <c r="E16" s="93"/>
      <c r="F16" s="94"/>
      <c r="G16" s="93"/>
      <c r="H16" s="93"/>
      <c r="I16" s="93"/>
      <c r="J16" s="93"/>
      <c r="K16" s="95"/>
    </row>
    <row r="17" customFormat="false" ht="15" hidden="false" customHeight="true" outlineLevel="0" collapsed="false">
      <c r="B17" s="138" t="s">
        <v>53</v>
      </c>
      <c r="C17" s="51"/>
      <c r="D17" s="93" t="n">
        <v>213</v>
      </c>
      <c r="E17" s="93" t="n">
        <v>326</v>
      </c>
      <c r="F17" s="94" t="n">
        <v>6</v>
      </c>
      <c r="G17" s="93" t="n">
        <v>50</v>
      </c>
      <c r="H17" s="93" t="n">
        <v>50</v>
      </c>
      <c r="I17" s="93" t="n">
        <v>50</v>
      </c>
      <c r="J17" s="93" t="n">
        <v>50</v>
      </c>
      <c r="K17" s="95" t="n">
        <v>50</v>
      </c>
    </row>
    <row r="18" customFormat="false" ht="15" hidden="false" customHeight="true" outlineLevel="0" collapsed="false">
      <c r="B18" s="138" t="s">
        <v>157</v>
      </c>
      <c r="C18" s="51"/>
      <c r="D18" s="93" t="n">
        <f aca="false">SUM(Sheet2!B57:B58)</f>
        <v>2780</v>
      </c>
      <c r="E18" s="93" t="n">
        <f aca="false">SUM(Sheet2!C57:C58)</f>
        <v>-397</v>
      </c>
      <c r="F18" s="94" t="n">
        <f aca="false">SUM(Sheet2!D57:D58)</f>
        <v>-78</v>
      </c>
      <c r="G18" s="93" t="n">
        <f aca="false">AVERAGE(D18:F18)</f>
        <v>768.333333333333</v>
      </c>
      <c r="H18" s="93" t="n">
        <f aca="false">AVERAGE(E18:G18)</f>
        <v>97.7777777777778</v>
      </c>
      <c r="I18" s="93" t="n">
        <f aca="false">AVERAGE(F18:H18)</f>
        <v>262.703703703704</v>
      </c>
      <c r="J18" s="93" t="n">
        <f aca="false">AVERAGE(G18:I18)</f>
        <v>376.271604938272</v>
      </c>
      <c r="K18" s="95" t="n">
        <f aca="false">AVERAGE(H18:J18)</f>
        <v>245.584362139918</v>
      </c>
    </row>
    <row r="19" customFormat="false" ht="15" hidden="false" customHeight="true" outlineLevel="0" collapsed="false">
      <c r="B19" s="138" t="s">
        <v>56</v>
      </c>
      <c r="C19" s="51"/>
      <c r="D19" s="93" t="n">
        <v>-3054</v>
      </c>
      <c r="E19" s="93" t="n">
        <v>-2824</v>
      </c>
      <c r="F19" s="94" t="n">
        <v>-2056</v>
      </c>
      <c r="G19" s="93" t="n">
        <f aca="false">AVERAGE(D19:F19)</f>
        <v>-2644.66666666667</v>
      </c>
      <c r="H19" s="93" t="n">
        <f aca="false">AVERAGE(E19:G19)</f>
        <v>-2508.22222222222</v>
      </c>
      <c r="I19" s="93" t="n">
        <f aca="false">AVERAGE(F19:H19)</f>
        <v>-2402.96296296296</v>
      </c>
      <c r="J19" s="93" t="n">
        <f aca="false">AVERAGE(G19:I19)</f>
        <v>-2518.61728395062</v>
      </c>
      <c r="K19" s="95" t="n">
        <f aca="false">AVERAGE(H19:J19)</f>
        <v>-2476.60082304527</v>
      </c>
    </row>
    <row r="20" customFormat="false" ht="15" hidden="false" customHeight="true" outlineLevel="0" collapsed="false">
      <c r="B20" s="138" t="s">
        <v>57</v>
      </c>
      <c r="C20" s="51"/>
      <c r="D20" s="93" t="n">
        <v>-4533</v>
      </c>
      <c r="E20" s="93" t="n">
        <v>-4870</v>
      </c>
      <c r="F20" s="94" t="n">
        <v>-5115</v>
      </c>
      <c r="G20" s="93" t="n">
        <f aca="false">AVERAGE(D20:F20)</f>
        <v>-4839.33333333333</v>
      </c>
      <c r="H20" s="93" t="n">
        <f aca="false">AVERAGE(E20:G20)</f>
        <v>-4941.44444444444</v>
      </c>
      <c r="I20" s="93" t="n">
        <f aca="false">AVERAGE(F20:H20)</f>
        <v>-4965.25925925926</v>
      </c>
      <c r="J20" s="93" t="n">
        <f aca="false">AVERAGE(G20:I20)</f>
        <v>-4915.34567901235</v>
      </c>
      <c r="K20" s="95" t="n">
        <f aca="false">AVERAGE(H20:J20)</f>
        <v>-4940.68312757202</v>
      </c>
    </row>
    <row r="21" customFormat="false" ht="15" hidden="false" customHeight="true" outlineLevel="0" collapsed="false">
      <c r="B21" s="138" t="s">
        <v>158</v>
      </c>
      <c r="C21" s="51"/>
      <c r="D21" s="93" t="n">
        <f aca="false">SUM(Sheet2!B61:B62)</f>
        <v>220</v>
      </c>
      <c r="E21" s="93" t="n">
        <f aca="false">SUM(Sheet2!C61:C62)</f>
        <v>272</v>
      </c>
      <c r="F21" s="94" t="n">
        <f aca="false">SUM(Sheet2!D61:D62)</f>
        <v>118</v>
      </c>
      <c r="G21" s="93" t="n">
        <f aca="false">AVERAGE(D21:F21)</f>
        <v>203.333333333333</v>
      </c>
      <c r="H21" s="93" t="n">
        <f aca="false">AVERAGE(E21:G21)</f>
        <v>197.777777777778</v>
      </c>
      <c r="I21" s="93" t="n">
        <f aca="false">AVERAGE(F21:H21)</f>
        <v>173.037037037037</v>
      </c>
      <c r="J21" s="93" t="n">
        <f aca="false">AVERAGE(G21:I21)</f>
        <v>191.382716049383</v>
      </c>
      <c r="K21" s="95" t="n">
        <f aca="false">AVERAGE(H21:J21)</f>
        <v>187.399176954733</v>
      </c>
    </row>
    <row r="22" customFormat="false" ht="15" hidden="false" customHeight="true" outlineLevel="0" collapsed="false">
      <c r="B22" s="139" t="s">
        <v>59</v>
      </c>
      <c r="C22" s="160"/>
      <c r="D22" s="103" t="n">
        <f aca="false">SUM(D17:D21)</f>
        <v>-4374</v>
      </c>
      <c r="E22" s="103" t="n">
        <f aca="false">SUM(E17:E21)</f>
        <v>-7493</v>
      </c>
      <c r="F22" s="104" t="n">
        <f aca="false">SUM(F17:F21)</f>
        <v>-7125</v>
      </c>
      <c r="G22" s="103" t="n">
        <f aca="false">SUM(G17:G21)</f>
        <v>-6462.33333333333</v>
      </c>
      <c r="H22" s="103" t="n">
        <f aca="false">SUM(H17:H21)</f>
        <v>-7104.11111111111</v>
      </c>
      <c r="I22" s="103" t="n">
        <f aca="false">SUM(I17:I21)</f>
        <v>-6882.48148148148</v>
      </c>
      <c r="J22" s="103" t="n">
        <f aca="false">SUM(J17:J21)</f>
        <v>-6816.30864197531</v>
      </c>
      <c r="K22" s="105" t="n">
        <f aca="false">SUM(K17:K21)</f>
        <v>-6934.30041152263</v>
      </c>
    </row>
    <row r="23" customFormat="false" ht="15" hidden="false" customHeight="true" outlineLevel="0" collapsed="false">
      <c r="B23" s="58"/>
      <c r="C23" s="161"/>
      <c r="D23" s="80"/>
      <c r="E23" s="80"/>
      <c r="F23" s="81"/>
      <c r="G23" s="80"/>
      <c r="H23" s="80"/>
      <c r="I23" s="80"/>
      <c r="J23" s="80"/>
      <c r="K23" s="90"/>
    </row>
    <row r="24" customFormat="false" ht="15" hidden="false" customHeight="true" outlineLevel="0" collapsed="false">
      <c r="B24" s="138" t="s">
        <v>60</v>
      </c>
      <c r="C24" s="51"/>
      <c r="D24" s="93" t="n">
        <f aca="false">Sheet2!B64</f>
        <v>-58</v>
      </c>
      <c r="E24" s="93" t="n">
        <f aca="false">Sheet2!C64</f>
        <v>-101</v>
      </c>
      <c r="F24" s="94" t="n">
        <f aca="false">Sheet2!D64</f>
        <v>86</v>
      </c>
      <c r="G24" s="93" t="n">
        <f aca="false">AVERAGE(D24:F24)</f>
        <v>-24.3333333333333</v>
      </c>
      <c r="H24" s="93" t="n">
        <f aca="false">AVERAGE(E24:G24)</f>
        <v>-13.1111111111111</v>
      </c>
      <c r="I24" s="93" t="n">
        <f aca="false">AVERAGE(F24:H24)</f>
        <v>16.1851851851852</v>
      </c>
      <c r="J24" s="93" t="n">
        <f aca="false">AVERAGE(G24:I24)</f>
        <v>-7.08641975308642</v>
      </c>
      <c r="K24" s="95" t="n">
        <f aca="false">AVERAGE(H24:J24)</f>
        <v>-1.33744855967078</v>
      </c>
    </row>
    <row r="25" customFormat="false" ht="15" hidden="false" customHeight="true" outlineLevel="0" collapsed="false">
      <c r="B25" s="138" t="s">
        <v>61</v>
      </c>
      <c r="C25" s="51"/>
      <c r="D25" s="93" t="n">
        <f aca="false">SUM(D11,D15,D22,D24)</f>
        <v>1996</v>
      </c>
      <c r="E25" s="93" t="n">
        <f aca="false">SUM(E11,E15,E22,E24)</f>
        <v>-3493</v>
      </c>
      <c r="F25" s="94" t="n">
        <f aca="false">SUM(F11,F15,F22,F24)</f>
        <v>-310</v>
      </c>
      <c r="G25" s="93" t="n">
        <f aca="false">AVERAGE(D25:F25)</f>
        <v>-602.333333333333</v>
      </c>
      <c r="H25" s="93" t="n">
        <f aca="false">AVERAGE(E25:G25)</f>
        <v>-1468.44444444444</v>
      </c>
      <c r="I25" s="93" t="n">
        <f aca="false">AVERAGE(F25:H25)</f>
        <v>-793.592592592593</v>
      </c>
      <c r="J25" s="93" t="n">
        <f aca="false">AVERAGE(G25:I25)</f>
        <v>-954.79012345679</v>
      </c>
      <c r="K25" s="95" t="n">
        <f aca="false">AVERAGE(H25:J25)</f>
        <v>-1072.27572016461</v>
      </c>
    </row>
    <row r="26" customFormat="false" ht="15" hidden="false" customHeight="true" outlineLevel="0" collapsed="false">
      <c r="B26" s="138" t="s">
        <v>62</v>
      </c>
      <c r="C26" s="51"/>
      <c r="D26" s="93" t="n">
        <f aca="false">Sheet2!B66</f>
        <v>2584</v>
      </c>
      <c r="E26" s="93" t="n">
        <f aca="false">Sheet2!C66</f>
        <v>4579</v>
      </c>
      <c r="F26" s="94" t="n">
        <f aca="false">Sheet2!D66</f>
        <v>1085</v>
      </c>
      <c r="G26" s="93" t="n">
        <f aca="false">AVERAGE(D26:F26)</f>
        <v>2749.33333333333</v>
      </c>
      <c r="H26" s="93" t="n">
        <f aca="false">AVERAGE(E26:G26)</f>
        <v>2804.44444444445</v>
      </c>
      <c r="I26" s="93" t="n">
        <f aca="false">AVERAGE(F26:H26)</f>
        <v>2212.92592592593</v>
      </c>
      <c r="J26" s="93" t="n">
        <f aca="false">AVERAGE(G26:I26)</f>
        <v>2588.9012345679</v>
      </c>
      <c r="K26" s="95" t="n">
        <f aca="false">AVERAGE(H26:J26)</f>
        <v>2535.42386831276</v>
      </c>
    </row>
    <row r="27" customFormat="false" ht="15" hidden="false" customHeight="true" outlineLevel="0" collapsed="false">
      <c r="B27" s="138" t="s">
        <v>63</v>
      </c>
      <c r="C27" s="51"/>
      <c r="D27" s="93" t="n">
        <f aca="false">SUM(D25,D26)</f>
        <v>4580</v>
      </c>
      <c r="E27" s="93" t="n">
        <f aca="false">SUM(E25,E26)</f>
        <v>1086</v>
      </c>
      <c r="F27" s="94" t="n">
        <f aca="false">SUM(F25,F26)</f>
        <v>775</v>
      </c>
      <c r="G27" s="93" t="n">
        <f aca="false">AVERAGE(D27:F27)</f>
        <v>2147</v>
      </c>
      <c r="H27" s="93" t="n">
        <f aca="false">AVERAGE(E27:G27)</f>
        <v>1336</v>
      </c>
      <c r="I27" s="93" t="n">
        <f aca="false">AVERAGE(F27:H27)</f>
        <v>1419.33333333333</v>
      </c>
      <c r="J27" s="93" t="n">
        <f aca="false">AVERAGE(G27:I27)</f>
        <v>1634.11111111111</v>
      </c>
      <c r="K27" s="95" t="n">
        <f aca="false">AVERAGE(H27:J27)</f>
        <v>1463.14814814815</v>
      </c>
    </row>
    <row r="28" customFormat="false" ht="15" hidden="false" customHeight="true" outlineLevel="0" collapsed="false">
      <c r="B28" s="58" t="s">
        <v>64</v>
      </c>
      <c r="C28" s="51"/>
      <c r="D28" s="93"/>
      <c r="E28" s="93"/>
      <c r="F28" s="94"/>
      <c r="G28" s="93"/>
      <c r="H28" s="93"/>
      <c r="I28" s="93"/>
      <c r="J28" s="93"/>
      <c r="K28" s="95"/>
    </row>
    <row r="29" customFormat="false" ht="15" hidden="false" customHeight="true" outlineLevel="0" collapsed="false">
      <c r="B29" s="138" t="s">
        <v>65</v>
      </c>
      <c r="C29" s="51"/>
      <c r="D29" s="93" t="n">
        <v>1287</v>
      </c>
      <c r="E29" s="93" t="n">
        <v>1523</v>
      </c>
      <c r="F29" s="94" t="n">
        <v>1555</v>
      </c>
      <c r="G29" s="93" t="n">
        <f aca="false">AVERAGE(D29:F29)</f>
        <v>1455</v>
      </c>
      <c r="H29" s="93" t="n">
        <f aca="false">AVERAGE(E29:G29)</f>
        <v>1511</v>
      </c>
      <c r="I29" s="93" t="n">
        <f aca="false">AVERAGE(F29:H29)</f>
        <v>1507</v>
      </c>
      <c r="J29" s="93" t="n">
        <f aca="false">AVERAGE(G29:I29)</f>
        <v>1491</v>
      </c>
      <c r="K29" s="95" t="n">
        <f aca="false">AVERAGE(H29:J29)</f>
        <v>1503</v>
      </c>
    </row>
    <row r="30" customFormat="false" ht="15" hidden="false" customHeight="true" outlineLevel="0" collapsed="false">
      <c r="B30" s="162"/>
      <c r="C30" s="121"/>
      <c r="D30" s="85"/>
      <c r="E30" s="85"/>
      <c r="F30" s="86"/>
      <c r="G30" s="85"/>
      <c r="H30" s="85"/>
      <c r="I30" s="85"/>
      <c r="J30" s="85"/>
      <c r="K30" s="87"/>
    </row>
    <row r="31" customFormat="false" ht="15" hidden="false" customHeight="true" outlineLevel="0" collapsed="false">
      <c r="D31" s="151"/>
      <c r="E31" s="151"/>
      <c r="F31" s="151"/>
    </row>
  </sheetData>
  <mergeCells count="1"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2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D48" activeCellId="0" sqref="D4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1.71"/>
    <col collapsed="false" customWidth="true" hidden="false" outlineLevel="0" max="3" min="3" style="1" width="5.57"/>
    <col collapsed="false" customWidth="true" hidden="false" outlineLevel="0" max="9" min="9" style="1" width="12.15"/>
  </cols>
  <sheetData>
    <row r="1" customFormat="false" ht="15" hidden="false" customHeight="true" outlineLevel="0" collapsed="false">
      <c r="B1" s="52"/>
      <c r="C1" s="53"/>
      <c r="D1" s="53"/>
      <c r="E1" s="53"/>
      <c r="F1" s="53"/>
      <c r="G1" s="53"/>
      <c r="H1" s="53"/>
      <c r="I1" s="53"/>
      <c r="J1" s="53"/>
      <c r="K1" s="54"/>
    </row>
    <row r="2" customFormat="false" ht="15" hidden="false" customHeight="true" outlineLevel="0" collapsed="false">
      <c r="B2" s="52"/>
      <c r="C2" s="53"/>
      <c r="D2" s="53"/>
      <c r="E2" s="53"/>
      <c r="F2" s="53"/>
      <c r="G2" s="53"/>
      <c r="H2" s="53"/>
      <c r="I2" s="53"/>
      <c r="J2" s="53"/>
      <c r="K2" s="54"/>
    </row>
    <row r="3" customFormat="false" ht="15" hidden="false" customHeight="true" outlineLevel="0" collapsed="false">
      <c r="B3" s="55" t="s">
        <v>104</v>
      </c>
      <c r="C3" s="56"/>
      <c r="D3" s="56"/>
      <c r="E3" s="56"/>
      <c r="F3" s="56"/>
      <c r="G3" s="56"/>
      <c r="H3" s="56"/>
      <c r="I3" s="56"/>
      <c r="J3" s="56"/>
      <c r="K3" s="57"/>
    </row>
    <row r="4" customFormat="false" ht="15" hidden="false" customHeight="true" outlineLevel="0" collapsed="false">
      <c r="B4" s="58" t="s">
        <v>105</v>
      </c>
      <c r="C4" s="51"/>
      <c r="D4" s="51"/>
      <c r="E4" s="51"/>
      <c r="F4" s="51"/>
      <c r="G4" s="51"/>
      <c r="H4" s="51"/>
      <c r="I4" s="51"/>
      <c r="J4" s="51"/>
      <c r="K4" s="59"/>
    </row>
    <row r="5" customFormat="false" ht="15" hidden="false" customHeight="true" outlineLevel="0" collapsed="false">
      <c r="B5" s="60" t="s">
        <v>159</v>
      </c>
      <c r="C5" s="61"/>
      <c r="D5" s="61"/>
      <c r="E5" s="61"/>
      <c r="F5" s="61"/>
      <c r="G5" s="61"/>
      <c r="H5" s="61"/>
      <c r="I5" s="61"/>
      <c r="J5" s="61"/>
      <c r="K5" s="62"/>
    </row>
    <row r="6" customFormat="false" ht="15" hidden="false" customHeight="true" outlineLevel="0" collapsed="false">
      <c r="B6" s="63"/>
      <c r="C6" s="51"/>
      <c r="D6" s="51"/>
      <c r="E6" s="51"/>
      <c r="F6" s="51"/>
      <c r="G6" s="51" t="n">
        <v>1</v>
      </c>
      <c r="H6" s="51" t="n">
        <v>2</v>
      </c>
      <c r="I6" s="51" t="n">
        <v>3</v>
      </c>
      <c r="J6" s="51" t="n">
        <v>4</v>
      </c>
      <c r="K6" s="163" t="n">
        <v>5</v>
      </c>
    </row>
    <row r="7" customFormat="false" ht="15" hidden="false" customHeight="true" outlineLevel="0" collapsed="false">
      <c r="B7" s="64" t="s">
        <v>160</v>
      </c>
      <c r="C7" s="53"/>
      <c r="D7" s="53"/>
      <c r="E7" s="53"/>
      <c r="F7" s="53"/>
      <c r="G7" s="66" t="s">
        <v>109</v>
      </c>
      <c r="H7" s="66"/>
      <c r="I7" s="66"/>
      <c r="J7" s="66"/>
      <c r="K7" s="66"/>
    </row>
    <row r="8" customFormat="false" ht="15" hidden="false" customHeight="true" outlineLevel="0" collapsed="false">
      <c r="B8" s="67" t="s">
        <v>110</v>
      </c>
      <c r="C8" s="68" t="s">
        <v>111</v>
      </c>
      <c r="D8" s="164" t="n">
        <f aca="false">E8-1</f>
        <v>2023</v>
      </c>
      <c r="E8" s="165" t="n">
        <f aca="false">F8-1</f>
        <v>2024</v>
      </c>
      <c r="F8" s="166" t="n">
        <v>2025</v>
      </c>
      <c r="G8" s="167" t="n">
        <f aca="false">F8+1</f>
        <v>2026</v>
      </c>
      <c r="H8" s="167" t="n">
        <f aca="false">G8+1</f>
        <v>2027</v>
      </c>
      <c r="I8" s="167" t="n">
        <f aca="false">H8+1</f>
        <v>2028</v>
      </c>
      <c r="J8" s="167" t="n">
        <f aca="false">I8+1</f>
        <v>2029</v>
      </c>
      <c r="K8" s="168" t="n">
        <f aca="false">J8+1</f>
        <v>2030</v>
      </c>
    </row>
    <row r="9" customFormat="false" ht="15" hidden="false" customHeight="true" outlineLevel="0" collapsed="false">
      <c r="B9" s="88" t="s">
        <v>113</v>
      </c>
      <c r="C9" s="74" t="s">
        <v>139</v>
      </c>
      <c r="D9" s="80" t="n">
        <f aca="false">'Income Statement'!D10</f>
        <v>25494</v>
      </c>
      <c r="E9" s="80" t="n">
        <f aca="false">'Income Statement'!E10</f>
        <v>25920</v>
      </c>
      <c r="F9" s="169" t="n">
        <f aca="false">'Income Statement'!F10</f>
        <v>26885</v>
      </c>
      <c r="G9" s="80" t="n">
        <f aca="false">'Income Statement'!G10</f>
        <v>27557.125</v>
      </c>
      <c r="H9" s="80" t="n">
        <f aca="false">'Income Statement'!H10</f>
        <v>28246.053125</v>
      </c>
      <c r="I9" s="80" t="n">
        <f aca="false">'Income Statement'!I10</f>
        <v>28952.204453125</v>
      </c>
      <c r="J9" s="80" t="n">
        <f aca="false">'Income Statement'!J10</f>
        <v>29676.0095644531</v>
      </c>
      <c r="K9" s="90" t="n">
        <f aca="false">'Income Statement'!K10</f>
        <v>30417.9098035644</v>
      </c>
    </row>
    <row r="10" customFormat="false" ht="15" hidden="false" customHeight="true" outlineLevel="0" collapsed="false">
      <c r="B10" s="91" t="s">
        <v>161</v>
      </c>
      <c r="C10" s="92"/>
      <c r="D10" s="126" t="n">
        <f aca="false">'Income Statement'!D27</f>
        <v>0.1</v>
      </c>
      <c r="E10" s="126" t="n">
        <f aca="false">'Income Statement'!E27</f>
        <v>0.0167098140738997</v>
      </c>
      <c r="F10" s="170" t="n">
        <f aca="false">'Income Statement'!F27</f>
        <v>0.0372299382716049</v>
      </c>
      <c r="G10" s="126" t="n">
        <f aca="false">'Income Statement'!G27</f>
        <v>0.025</v>
      </c>
      <c r="H10" s="126" t="n">
        <f aca="false">'Income Statement'!H27</f>
        <v>0.025</v>
      </c>
      <c r="I10" s="126" t="n">
        <f aca="false">'Income Statement'!I27</f>
        <v>0.025</v>
      </c>
      <c r="J10" s="126" t="n">
        <f aca="false">'Income Statement'!J27</f>
        <v>0.025</v>
      </c>
      <c r="K10" s="171" t="n">
        <f aca="false">'Income Statement'!K27</f>
        <v>0.025</v>
      </c>
    </row>
    <row r="11" customFormat="false" ht="15" hidden="false" customHeight="true" outlineLevel="0" collapsed="false">
      <c r="B11" s="88"/>
      <c r="C11" s="89"/>
      <c r="D11" s="106"/>
      <c r="E11" s="106"/>
      <c r="F11" s="107"/>
      <c r="G11" s="156"/>
      <c r="H11" s="156"/>
      <c r="I11" s="156"/>
      <c r="J11" s="156"/>
      <c r="K11" s="172"/>
    </row>
    <row r="12" customFormat="false" ht="15" hidden="false" customHeight="true" outlineLevel="0" collapsed="false">
      <c r="B12" s="88" t="s">
        <v>125</v>
      </c>
      <c r="C12" s="92"/>
      <c r="D12" s="80" t="n">
        <f aca="false">'Income Statement'!D22</f>
        <v>11647</v>
      </c>
      <c r="E12" s="80" t="n">
        <f aca="false">'Income Statement'!E22</f>
        <v>11712</v>
      </c>
      <c r="F12" s="169" t="n">
        <f aca="false">'Income Statement'!F22</f>
        <v>12392</v>
      </c>
      <c r="G12" s="80" t="n">
        <f aca="false">'Income Statement'!G22</f>
        <v>12581.0273228051</v>
      </c>
      <c r="H12" s="80" t="n">
        <f aca="false">'Income Statement'!H22</f>
        <v>12892.6431393041</v>
      </c>
      <c r="I12" s="80" t="n">
        <f aca="false">'Income Statement'!I22</f>
        <v>13259.2432246029</v>
      </c>
      <c r="J12" s="80" t="n">
        <f aca="false">'Income Statement'!J22</f>
        <v>13561.482626749</v>
      </c>
      <c r="K12" s="90" t="n">
        <f aca="false">'Income Statement'!K22</f>
        <v>13904.9928778178</v>
      </c>
    </row>
    <row r="13" customFormat="false" ht="15" hidden="false" customHeight="true" outlineLevel="0" collapsed="false">
      <c r="B13" s="91" t="s">
        <v>162</v>
      </c>
      <c r="C13" s="92"/>
      <c r="D13" s="126" t="n">
        <f aca="false">D12/D9</f>
        <v>0.456852592766926</v>
      </c>
      <c r="E13" s="126" t="n">
        <f aca="false">E12/E9</f>
        <v>0.451851851851852</v>
      </c>
      <c r="F13" s="170" t="n">
        <f aca="false">F12/F9</f>
        <v>0.460926167007625</v>
      </c>
      <c r="G13" s="126" t="n">
        <f aca="false">G12/G9</f>
        <v>0.456543537208801</v>
      </c>
      <c r="H13" s="126" t="n">
        <f aca="false">H12/H9</f>
        <v>0.456440518689426</v>
      </c>
      <c r="I13" s="126" t="n">
        <f aca="false">I12/I9</f>
        <v>0.457970074301951</v>
      </c>
      <c r="J13" s="126" t="n">
        <f aca="false">J12/J9</f>
        <v>0.456984710066726</v>
      </c>
      <c r="K13" s="171" t="n">
        <f aca="false">K12/K9</f>
        <v>0.457131767686034</v>
      </c>
    </row>
    <row r="14" customFormat="false" ht="15" hidden="false" customHeight="true" outlineLevel="0" collapsed="false">
      <c r="B14" s="88"/>
      <c r="C14" s="97"/>
      <c r="D14" s="106"/>
      <c r="E14" s="106"/>
      <c r="F14" s="107"/>
      <c r="G14" s="156"/>
      <c r="H14" s="156"/>
      <c r="I14" s="156"/>
      <c r="J14" s="156"/>
      <c r="K14" s="172"/>
    </row>
    <row r="15" customFormat="false" ht="15" hidden="false" customHeight="true" outlineLevel="0" collapsed="false">
      <c r="B15" s="88" t="s">
        <v>163</v>
      </c>
      <c r="C15" s="92"/>
      <c r="D15" s="80" t="n">
        <f aca="false">'Income Statement'!D19</f>
        <v>-2053</v>
      </c>
      <c r="E15" s="80" t="n">
        <f aca="false">'Income Statement'!E19</f>
        <v>-2121</v>
      </c>
      <c r="F15" s="169" t="n">
        <f aca="false">'Income Statement'!F19</f>
        <v>-2334</v>
      </c>
      <c r="G15" s="80" t="n">
        <f aca="false">'Income Statement'!G19</f>
        <v>-2313.43422949648</v>
      </c>
      <c r="H15" s="80" t="n">
        <f aca="false">'Income Statement'!H19</f>
        <v>-2363.95409255316</v>
      </c>
      <c r="I15" s="80" t="n">
        <f aca="false">'Income Statement'!I19</f>
        <v>-2432.76337484102</v>
      </c>
      <c r="J15" s="80" t="n">
        <f aca="false">'Income Statement'!J19</f>
        <v>-2489.51024630051</v>
      </c>
      <c r="K15" s="90" t="n">
        <f aca="false">'Income Statement'!K19</f>
        <v>-2551.1293091281</v>
      </c>
    </row>
    <row r="16" customFormat="false" ht="15" hidden="false" customHeight="true" outlineLevel="0" collapsed="false">
      <c r="B16" s="91" t="s">
        <v>164</v>
      </c>
      <c r="C16" s="92"/>
      <c r="D16" s="126" t="n">
        <f aca="false">D15/D12</f>
        <v>-0.176268567012965</v>
      </c>
      <c r="E16" s="126" t="n">
        <f aca="false">E15/E12</f>
        <v>-0.18109631147541</v>
      </c>
      <c r="F16" s="170" t="n">
        <f aca="false">F15/F12</f>
        <v>-0.188347320852163</v>
      </c>
      <c r="G16" s="126" t="n">
        <f aca="false">G15/G12</f>
        <v>-0.183882776035548</v>
      </c>
      <c r="H16" s="126" t="n">
        <f aca="false">H15/H12</f>
        <v>-0.183356823500876</v>
      </c>
      <c r="I16" s="126" t="n">
        <f aca="false">I15/I12</f>
        <v>-0.183476789257999</v>
      </c>
      <c r="J16" s="126" t="n">
        <f aca="false">J15/J12</f>
        <v>-0.183572129598141</v>
      </c>
      <c r="K16" s="171" t="n">
        <f aca="false">K15/K12</f>
        <v>-0.183468580785672</v>
      </c>
    </row>
    <row r="17" customFormat="false" ht="15" hidden="false" customHeight="true" outlineLevel="0" collapsed="false">
      <c r="B17" s="88"/>
      <c r="C17" s="100"/>
      <c r="D17" s="106"/>
      <c r="E17" s="106"/>
      <c r="F17" s="107"/>
      <c r="G17" s="156"/>
      <c r="H17" s="156"/>
      <c r="I17" s="156"/>
      <c r="J17" s="156"/>
      <c r="K17" s="172"/>
    </row>
    <row r="18" customFormat="false" ht="15" hidden="false" customHeight="true" outlineLevel="0" collapsed="false">
      <c r="B18" s="173" t="s">
        <v>165</v>
      </c>
      <c r="C18" s="174"/>
      <c r="D18" s="80" t="n">
        <f aca="false">D12-D15</f>
        <v>13700</v>
      </c>
      <c r="E18" s="80" t="n">
        <f aca="false">E12-E15</f>
        <v>13833</v>
      </c>
      <c r="F18" s="169" t="n">
        <f aca="false">F12-F15</f>
        <v>14726</v>
      </c>
      <c r="G18" s="80" t="n">
        <f aca="false">G12-G15</f>
        <v>14894.4615523016</v>
      </c>
      <c r="H18" s="80" t="n">
        <f aca="false">H12-H15</f>
        <v>15256.5972318572</v>
      </c>
      <c r="I18" s="80" t="n">
        <f aca="false">I12-I15</f>
        <v>15692.0065994439</v>
      </c>
      <c r="J18" s="80" t="n">
        <f aca="false">J12-J15</f>
        <v>16050.9928730495</v>
      </c>
      <c r="K18" s="90" t="n">
        <f aca="false">K12-K15</f>
        <v>16456.1221869459</v>
      </c>
    </row>
    <row r="19" customFormat="false" ht="15" hidden="false" customHeight="true" outlineLevel="0" collapsed="false">
      <c r="B19" s="88"/>
      <c r="C19" s="97"/>
      <c r="D19" s="106"/>
      <c r="E19" s="106"/>
      <c r="F19" s="107"/>
      <c r="G19" s="156"/>
      <c r="H19" s="156"/>
      <c r="I19" s="156"/>
      <c r="J19" s="156"/>
      <c r="K19" s="172"/>
    </row>
    <row r="20" customFormat="false" ht="15" hidden="false" customHeight="true" outlineLevel="0" collapsed="false">
      <c r="B20" s="88" t="s">
        <v>153</v>
      </c>
      <c r="C20" s="97"/>
      <c r="D20" s="80" t="n">
        <f aca="false">'Cash flows'!D8</f>
        <v>1978</v>
      </c>
      <c r="E20" s="80" t="n">
        <f aca="false">'Cash flows'!E8</f>
        <v>2097</v>
      </c>
      <c r="F20" s="169" t="n">
        <f aca="false">'Cash flows'!F8</f>
        <v>2199</v>
      </c>
      <c r="G20" s="80" t="n">
        <f aca="false">'Cash flows'!G8</f>
        <v>2207.16479948237</v>
      </c>
      <c r="H20" s="80" t="n">
        <f aca="false">'Cash flows'!H8</f>
        <v>2290.58997259443</v>
      </c>
      <c r="I20" s="80" t="n">
        <f aca="false">'Cash flows'!I8</f>
        <v>2376.80692636241</v>
      </c>
      <c r="J20" s="80" t="n">
        <f aca="false">'Cash flows'!J8</f>
        <v>2465.90310908593</v>
      </c>
      <c r="K20" s="90" t="n">
        <f aca="false">'Cash flows'!K8</f>
        <v>2557.96859661664</v>
      </c>
    </row>
    <row r="21" customFormat="false" ht="15" hidden="false" customHeight="true" outlineLevel="0" collapsed="false">
      <c r="B21" s="91" t="s">
        <v>166</v>
      </c>
      <c r="C21" s="110"/>
      <c r="D21" s="126" t="n">
        <f aca="false">D20/D9</f>
        <v>0.0775868831882011</v>
      </c>
      <c r="E21" s="126" t="n">
        <f aca="false">E20/E9</f>
        <v>0.0809027777777778</v>
      </c>
      <c r="F21" s="170" t="n">
        <f aca="false">F20/F9</f>
        <v>0.0817928212758044</v>
      </c>
      <c r="G21" s="126" t="n">
        <f aca="false">G20/G9</f>
        <v>0.0800941607472611</v>
      </c>
      <c r="H21" s="126" t="n">
        <f aca="false">H20/H9</f>
        <v>0.0810941607472611</v>
      </c>
      <c r="I21" s="126" t="n">
        <f aca="false">I20/I9</f>
        <v>0.0820941607472611</v>
      </c>
      <c r="J21" s="126" t="n">
        <f aca="false">J20/J9</f>
        <v>0.0830941607472611</v>
      </c>
      <c r="K21" s="171" t="n">
        <f aca="false">K20/K9</f>
        <v>0.0840941607472611</v>
      </c>
    </row>
    <row r="22" customFormat="false" ht="15" hidden="false" customHeight="true" outlineLevel="0" collapsed="false">
      <c r="B22" s="175"/>
      <c r="C22" s="110"/>
      <c r="D22" s="51"/>
      <c r="E22" s="51"/>
      <c r="F22" s="112"/>
      <c r="G22" s="108"/>
      <c r="H22" s="108"/>
      <c r="I22" s="108"/>
      <c r="J22" s="108"/>
      <c r="K22" s="113"/>
    </row>
    <row r="23" customFormat="false" ht="15" hidden="false" customHeight="true" outlineLevel="0" collapsed="false">
      <c r="B23" s="88" t="s">
        <v>167</v>
      </c>
      <c r="C23" s="97"/>
      <c r="D23" s="80" t="n">
        <f aca="false">'Cash flows'!D13</f>
        <v>-2357</v>
      </c>
      <c r="E23" s="80" t="n">
        <f aca="false">'Cash flows'!E13</f>
        <v>-2775</v>
      </c>
      <c r="F23" s="169" t="n">
        <f aca="false">'Cash flows'!F13</f>
        <v>-3365</v>
      </c>
      <c r="G23" s="80" t="n">
        <f aca="false">'Cash flows'!G13</f>
        <v>-3700</v>
      </c>
      <c r="H23" s="80" t="n">
        <f aca="false">'Cash flows'!H13</f>
        <v>-4000</v>
      </c>
      <c r="I23" s="80" t="n">
        <f aca="false">'Cash flows'!I13</f>
        <v>-4300</v>
      </c>
      <c r="J23" s="80" t="n">
        <f aca="false">'Cash flows'!J13</f>
        <v>-4600</v>
      </c>
      <c r="K23" s="90" t="n">
        <f aca="false">'Cash flows'!K13</f>
        <v>-4900</v>
      </c>
    </row>
    <row r="24" customFormat="false" ht="15" hidden="false" customHeight="true" outlineLevel="0" collapsed="false">
      <c r="B24" s="138" t="s">
        <v>166</v>
      </c>
      <c r="C24" s="51"/>
      <c r="D24" s="51"/>
      <c r="E24" s="51"/>
      <c r="F24" s="112"/>
      <c r="G24" s="126" t="n">
        <f aca="false">G23/G9</f>
        <v>-0.134266546310618</v>
      </c>
      <c r="H24" s="126" t="n">
        <f aca="false">H23/H9</f>
        <v>-0.141612705403421</v>
      </c>
      <c r="I24" s="126" t="n">
        <f aca="false">I23/I9</f>
        <v>-0.148520642252368</v>
      </c>
      <c r="J24" s="126" t="n">
        <f aca="false">J23/J9</f>
        <v>-0.155007363439794</v>
      </c>
      <c r="K24" s="171" t="n">
        <f aca="false">K23/K9</f>
        <v>-0.161089306650052</v>
      </c>
    </row>
    <row r="25" customFormat="false" ht="15" hidden="false" customHeight="true" outlineLevel="0" collapsed="false">
      <c r="B25" s="176"/>
      <c r="C25" s="114"/>
      <c r="D25" s="164" t="n">
        <v>2023</v>
      </c>
      <c r="E25" s="165" t="n">
        <v>2024</v>
      </c>
      <c r="F25" s="166" t="n">
        <v>2025</v>
      </c>
      <c r="G25" s="167" t="n">
        <v>2026</v>
      </c>
      <c r="H25" s="167" t="n">
        <v>2027</v>
      </c>
      <c r="I25" s="167" t="n">
        <v>2028</v>
      </c>
      <c r="J25" s="167" t="n">
        <v>2029</v>
      </c>
      <c r="K25" s="168" t="n">
        <v>2030</v>
      </c>
    </row>
    <row r="26" customFormat="false" ht="15" hidden="false" customHeight="true" outlineLevel="0" collapsed="false">
      <c r="B26" s="88" t="s">
        <v>168</v>
      </c>
      <c r="C26" s="116"/>
      <c r="D26" s="80" t="n">
        <v>1438</v>
      </c>
      <c r="E26" s="80" t="n">
        <v>1410</v>
      </c>
      <c r="F26" s="169" t="n">
        <v>1378</v>
      </c>
      <c r="G26" s="80" t="n">
        <f aca="false">AVERAGE(D26:F26)</f>
        <v>1408.66666666667</v>
      </c>
      <c r="H26" s="80" t="n">
        <f aca="false">AVERAGE(E26:G26)</f>
        <v>1398.88888888889</v>
      </c>
      <c r="I26" s="80" t="n">
        <f aca="false">AVERAGE(F26:H26)</f>
        <v>1395.18518518519</v>
      </c>
      <c r="J26" s="80" t="n">
        <f aca="false">AVERAGE(G26:I26)</f>
        <v>1400.91358024691</v>
      </c>
      <c r="K26" s="90" t="n">
        <f aca="false">AVERAGE(H26:J26)</f>
        <v>1398.329218107</v>
      </c>
    </row>
    <row r="27" customFormat="false" ht="15" hidden="false" customHeight="true" outlineLevel="0" collapsed="false">
      <c r="B27" s="177"/>
      <c r="C27" s="51"/>
      <c r="D27" s="126"/>
      <c r="E27" s="126"/>
      <c r="F27" s="170"/>
      <c r="G27" s="126"/>
      <c r="H27" s="126"/>
      <c r="I27" s="126"/>
      <c r="J27" s="126"/>
      <c r="K27" s="171"/>
    </row>
    <row r="28" customFormat="false" ht="15" hidden="false" customHeight="true" outlineLevel="0" collapsed="false">
      <c r="B28" s="88" t="s">
        <v>169</v>
      </c>
      <c r="C28" s="116"/>
      <c r="D28" s="80" t="n">
        <v>0</v>
      </c>
      <c r="E28" s="80" t="n">
        <f aca="false">E26-D26</f>
        <v>-28</v>
      </c>
      <c r="F28" s="169" t="n">
        <f aca="false">F26-E26</f>
        <v>-32</v>
      </c>
      <c r="G28" s="80" t="n">
        <f aca="false">G26-F26</f>
        <v>30.6666666666667</v>
      </c>
      <c r="H28" s="80" t="n">
        <f aca="false">H26-G26</f>
        <v>-9.77777777777783</v>
      </c>
      <c r="I28" s="80" t="n">
        <f aca="false">I26-H26</f>
        <v>-3.7037037037037</v>
      </c>
      <c r="J28" s="80" t="n">
        <f aca="false">J26-I26</f>
        <v>5.72839506172841</v>
      </c>
      <c r="K28" s="90" t="n">
        <f aca="false">K26-J26</f>
        <v>-2.58436213991786</v>
      </c>
    </row>
    <row r="29" customFormat="false" ht="15" hidden="false" customHeight="true" outlineLevel="0" collapsed="false">
      <c r="B29" s="177"/>
      <c r="C29" s="51"/>
      <c r="D29" s="126"/>
      <c r="E29" s="126"/>
      <c r="F29" s="170"/>
      <c r="G29" s="126"/>
      <c r="H29" s="126"/>
      <c r="I29" s="126"/>
      <c r="J29" s="126"/>
      <c r="K29" s="171"/>
    </row>
    <row r="30" customFormat="false" ht="15" hidden="false" customHeight="true" outlineLevel="0" collapsed="false">
      <c r="B30" s="178" t="s">
        <v>170</v>
      </c>
      <c r="C30" s="51"/>
      <c r="D30" s="126"/>
      <c r="E30" s="126"/>
      <c r="F30" s="170"/>
      <c r="G30" s="80" t="n">
        <f aca="false">G18+G20+G23+G28</f>
        <v>13432.2930184506</v>
      </c>
      <c r="H30" s="80" t="n">
        <f aca="false">H18+H20++H23+H28</f>
        <v>13537.4094266739</v>
      </c>
      <c r="I30" s="80" t="n">
        <f aca="false">I18+I20++I23+I28</f>
        <v>13765.1098221026</v>
      </c>
      <c r="J30" s="80" t="n">
        <f aca="false">J18+J20++J23+J28</f>
        <v>13922.6243771971</v>
      </c>
      <c r="K30" s="90" t="n">
        <f aca="false">K18+K20++K23+K28</f>
        <v>14111.5064214226</v>
      </c>
    </row>
    <row r="31" customFormat="false" ht="15" hidden="false" customHeight="true" outlineLevel="0" collapsed="false">
      <c r="B31" s="179" t="s">
        <v>171</v>
      </c>
      <c r="C31" s="121"/>
      <c r="D31" s="128"/>
      <c r="E31" s="128"/>
      <c r="F31" s="180"/>
      <c r="G31" s="181" t="n">
        <f aca="false">1/((1+$E$51)^G6)</f>
        <v>0.941295810635839</v>
      </c>
      <c r="H31" s="181" t="n">
        <f aca="false">1/((1+$E$51)^H6)</f>
        <v>0.886037803120582</v>
      </c>
      <c r="I31" s="181" t="n">
        <f aca="false">1/((1+$E$51)^I6)</f>
        <v>0.834023672142386</v>
      </c>
      <c r="J31" s="181" t="n">
        <f aca="false">1/((1+$E$51)^J6)</f>
        <v>0.785062988558747</v>
      </c>
      <c r="K31" s="182" t="n">
        <f aca="false">1/((1+$E$51)^K6)</f>
        <v>0.7389765022156</v>
      </c>
    </row>
    <row r="32" customFormat="false" ht="15" hidden="false" customHeight="true" outlineLevel="0" collapsed="false">
      <c r="B32" s="183" t="s">
        <v>172</v>
      </c>
      <c r="C32" s="56"/>
      <c r="D32" s="184"/>
      <c r="E32" s="184"/>
      <c r="F32" s="185"/>
      <c r="G32" s="186" t="n">
        <f aca="false">G30*G31</f>
        <v>12643.7611455006</v>
      </c>
      <c r="H32" s="186" t="n">
        <f aca="false">H30*H31</f>
        <v>11994.656508354</v>
      </c>
      <c r="I32" s="186" t="n">
        <f aca="false">I30*I31</f>
        <v>11480.4274412733</v>
      </c>
      <c r="J32" s="186" t="n">
        <f aca="false">J30*J31</f>
        <v>10930.1371021433</v>
      </c>
      <c r="K32" s="187" t="n">
        <f aca="false">K30*K31</f>
        <v>10428.0716562958</v>
      </c>
    </row>
    <row r="33" customFormat="false" ht="15" hidden="false" customHeight="true" outlineLevel="0" collapsed="false">
      <c r="B33" s="51"/>
      <c r="C33" s="51"/>
      <c r="D33" s="51"/>
      <c r="E33" s="51"/>
      <c r="F33" s="126"/>
      <c r="G33" s="126"/>
      <c r="H33" s="126"/>
      <c r="I33" s="108"/>
      <c r="J33" s="108"/>
      <c r="K33" s="108"/>
      <c r="L33" s="108"/>
      <c r="M33" s="108"/>
    </row>
    <row r="34" customFormat="false" ht="15" hidden="false" customHeight="true" outlineLevel="0" collapsed="false">
      <c r="B34" s="188" t="s">
        <v>173</v>
      </c>
      <c r="C34" s="188"/>
      <c r="D34" s="188"/>
      <c r="E34" s="188"/>
      <c r="F34" s="189" t="s">
        <v>174</v>
      </c>
      <c r="G34" s="189"/>
      <c r="H34" s="189"/>
      <c r="I34" s="189"/>
    </row>
    <row r="35" customFormat="false" ht="15" hidden="false" customHeight="true" outlineLevel="0" collapsed="false">
      <c r="B35" s="190" t="s">
        <v>175</v>
      </c>
      <c r="C35" s="191"/>
      <c r="D35" s="191"/>
      <c r="E35" s="192"/>
      <c r="F35" s="193" t="s">
        <v>176</v>
      </c>
      <c r="G35" s="110"/>
      <c r="H35" s="110"/>
      <c r="I35" s="194"/>
    </row>
    <row r="36" customFormat="false" ht="15" hidden="false" customHeight="true" outlineLevel="0" collapsed="false">
      <c r="B36" s="195"/>
      <c r="C36" s="110"/>
      <c r="D36" s="110"/>
      <c r="E36" s="194"/>
      <c r="F36" s="196" t="str">
        <f aca="false">"FY"&amp;TEXT(K8,"0")&amp;"E Unlevered Free Cash Flow"</f>
        <v>FY2030E Unlevered Free Cash Flow</v>
      </c>
      <c r="G36" s="110"/>
      <c r="H36" s="110"/>
      <c r="I36" s="197" t="n">
        <f aca="false">K30</f>
        <v>14111.5064214226</v>
      </c>
    </row>
    <row r="37" customFormat="false" ht="15" hidden="false" customHeight="true" outlineLevel="0" collapsed="false">
      <c r="B37" s="195" t="s">
        <v>177</v>
      </c>
      <c r="C37" s="110"/>
      <c r="D37" s="110"/>
      <c r="E37" s="198" t="n">
        <v>0.0502</v>
      </c>
      <c r="F37" s="196" t="s">
        <v>178</v>
      </c>
      <c r="G37" s="110"/>
      <c r="H37" s="110"/>
      <c r="I37" s="199" t="n">
        <v>0.03</v>
      </c>
    </row>
    <row r="38" customFormat="false" ht="15" hidden="false" customHeight="true" outlineLevel="0" collapsed="false">
      <c r="B38" s="195" t="s">
        <v>179</v>
      </c>
      <c r="C38" s="110"/>
      <c r="D38" s="110"/>
      <c r="E38" s="200" t="n">
        <v>0.41</v>
      </c>
      <c r="F38" s="193" t="s">
        <v>174</v>
      </c>
      <c r="G38" s="110"/>
      <c r="H38" s="110"/>
      <c r="I38" s="201" t="n">
        <f aca="false">(I36 * (1 + I37)) / (E51 - I37)</f>
        <v>449087.590667807</v>
      </c>
    </row>
    <row r="39" customFormat="false" ht="15" hidden="false" customHeight="true" outlineLevel="0" collapsed="false">
      <c r="B39" s="195" t="s">
        <v>180</v>
      </c>
      <c r="C39" s="110"/>
      <c r="D39" s="110"/>
      <c r="E39" s="202" t="n">
        <v>0.0445</v>
      </c>
      <c r="F39" s="58" t="s">
        <v>181</v>
      </c>
      <c r="G39" s="51"/>
      <c r="H39" s="51"/>
      <c r="I39" s="203" t="n">
        <f aca="false">I38*K31</f>
        <v>331865.176940127</v>
      </c>
    </row>
    <row r="40" customFormat="false" ht="15" hidden="false" customHeight="true" outlineLevel="0" collapsed="false">
      <c r="B40" s="204" t="s">
        <v>182</v>
      </c>
      <c r="C40" s="205"/>
      <c r="D40" s="206"/>
      <c r="E40" s="207" t="n">
        <f aca="false">E37+E38*E39</f>
        <v>0.068445</v>
      </c>
      <c r="F40" s="162"/>
      <c r="G40" s="121"/>
      <c r="H40" s="121"/>
      <c r="I40" s="208"/>
    </row>
    <row r="41" customFormat="false" ht="15" hidden="false" customHeight="true" outlineLevel="0" collapsed="false">
      <c r="B41" s="195"/>
      <c r="C41" s="110"/>
      <c r="D41" s="110"/>
      <c r="E41" s="194"/>
      <c r="F41" s="1"/>
      <c r="G41" s="1"/>
      <c r="H41" s="1"/>
      <c r="I41" s="209"/>
    </row>
    <row r="42" customFormat="false" ht="15" hidden="false" customHeight="true" outlineLevel="0" collapsed="false">
      <c r="B42" s="195" t="s">
        <v>183</v>
      </c>
      <c r="C42" s="110"/>
      <c r="D42" s="110"/>
      <c r="E42" s="210" t="n">
        <v>0.044</v>
      </c>
      <c r="F42" s="188" t="s">
        <v>184</v>
      </c>
      <c r="G42" s="188"/>
      <c r="H42" s="188"/>
      <c r="I42" s="188"/>
    </row>
    <row r="43" customFormat="false" ht="15" hidden="false" customHeight="true" outlineLevel="0" collapsed="false">
      <c r="B43" s="195" t="s">
        <v>185</v>
      </c>
      <c r="C43" s="110"/>
      <c r="D43" s="110"/>
      <c r="E43" s="211" t="n">
        <v>0.21</v>
      </c>
      <c r="F43" s="193" t="s">
        <v>186</v>
      </c>
      <c r="G43" s="212"/>
      <c r="H43" s="212"/>
      <c r="I43" s="59"/>
    </row>
    <row r="44" customFormat="false" ht="15" hidden="false" customHeight="true" outlineLevel="0" collapsed="false">
      <c r="B44" s="204" t="s">
        <v>187</v>
      </c>
      <c r="C44" s="205"/>
      <c r="D44" s="205"/>
      <c r="E44" s="207" t="n">
        <f aca="false">E42*(1-E43)</f>
        <v>0.03476</v>
      </c>
      <c r="F44" s="213" t="str">
        <f aca="false">"NPV of UFCF "&amp;TEXT(G8,"0")&amp;" - "&amp;TEXT(K8,"0")</f>
        <v>NPV of UFCF 2026 - 2030</v>
      </c>
      <c r="G44" s="212"/>
      <c r="H44" s="51"/>
      <c r="I44" s="214" t="n">
        <f aca="false">SUM(G32:K32)</f>
        <v>57477.0538535669</v>
      </c>
    </row>
    <row r="45" customFormat="false" ht="15" hidden="false" customHeight="true" outlineLevel="0" collapsed="false">
      <c r="B45" s="195"/>
      <c r="C45" s="110"/>
      <c r="D45" s="110"/>
      <c r="E45" s="194"/>
      <c r="F45" s="213" t="s">
        <v>188</v>
      </c>
      <c r="G45" s="212"/>
      <c r="H45" s="51"/>
      <c r="I45" s="214" t="n">
        <f aca="false">I39</f>
        <v>331865.176940127</v>
      </c>
      <c r="J45" s="1"/>
      <c r="K45" s="1"/>
      <c r="L45" s="1"/>
      <c r="M45" s="1"/>
    </row>
    <row r="46" customFormat="false" ht="15" hidden="false" customHeight="true" outlineLevel="0" collapsed="false">
      <c r="B46" s="215" t="s">
        <v>189</v>
      </c>
      <c r="C46" s="216" t="s">
        <v>190</v>
      </c>
      <c r="D46" s="110"/>
      <c r="E46" s="194"/>
      <c r="F46" s="217" t="s">
        <v>191</v>
      </c>
      <c r="G46" s="212"/>
      <c r="H46" s="51"/>
      <c r="I46" s="218" t="n">
        <f aca="false">SUM(I44:I45)</f>
        <v>389342.230793694</v>
      </c>
      <c r="J46" s="1"/>
      <c r="K46" s="1"/>
      <c r="L46" s="1"/>
      <c r="M46" s="1"/>
    </row>
    <row r="47" customFormat="false" ht="15" hidden="false" customHeight="true" outlineLevel="0" collapsed="false">
      <c r="B47" s="91" t="s">
        <v>192</v>
      </c>
      <c r="C47" s="110"/>
      <c r="D47" s="219" t="n">
        <f aca="false">'Balance sheet'!F18</f>
        <v>39973</v>
      </c>
      <c r="E47" s="220" t="n">
        <f aca="false">D47/D49</f>
        <v>0.180487060857186</v>
      </c>
      <c r="F47" s="195" t="s">
        <v>193</v>
      </c>
      <c r="G47" s="110"/>
      <c r="H47" s="51"/>
      <c r="I47" s="197" t="n">
        <f aca="false">-'Balance sheet'!F18</f>
        <v>-39973</v>
      </c>
      <c r="J47" s="1"/>
      <c r="K47" s="1"/>
      <c r="L47" s="1"/>
      <c r="M47" s="1"/>
    </row>
    <row r="48" customFormat="false" ht="15" hidden="false" customHeight="true" outlineLevel="0" collapsed="false">
      <c r="B48" s="91" t="s">
        <v>194</v>
      </c>
      <c r="C48" s="221" t="n">
        <v>253.35</v>
      </c>
      <c r="D48" s="219" t="n">
        <f aca="false">C48*$I$50</f>
        <v>181499.94</v>
      </c>
      <c r="E48" s="220" t="n">
        <f aca="false">D48/D49</f>
        <v>0.819512939142814</v>
      </c>
      <c r="F48" s="195" t="s">
        <v>195</v>
      </c>
      <c r="G48" s="110"/>
      <c r="H48" s="51"/>
      <c r="I48" s="222" t="n">
        <f aca="false">'Balance sheet'!F7</f>
        <v>775</v>
      </c>
      <c r="J48" s="1"/>
      <c r="K48" s="1"/>
      <c r="L48" s="1"/>
      <c r="M48" s="1"/>
    </row>
    <row r="49" customFormat="false" ht="15" hidden="false" customHeight="true" outlineLevel="0" collapsed="false">
      <c r="B49" s="223" t="s">
        <v>196</v>
      </c>
      <c r="C49" s="205"/>
      <c r="D49" s="224" t="n">
        <f aca="false">SUM(D47:D48)</f>
        <v>221472.94</v>
      </c>
      <c r="E49" s="225" t="n">
        <v>1</v>
      </c>
      <c r="F49" s="226" t="s">
        <v>197</v>
      </c>
      <c r="G49" s="97"/>
      <c r="H49" s="51"/>
      <c r="I49" s="227" t="n">
        <f aca="false">SUM(I46:I48)</f>
        <v>350144.230793694</v>
      </c>
      <c r="J49" s="1"/>
      <c r="K49" s="1"/>
      <c r="L49" s="1"/>
      <c r="M49" s="1"/>
    </row>
    <row r="50" customFormat="false" ht="15" hidden="false" customHeight="true" outlineLevel="0" collapsed="false">
      <c r="B50" s="195"/>
      <c r="C50" s="110"/>
      <c r="D50" s="110"/>
      <c r="E50" s="194"/>
      <c r="F50" s="195" t="s">
        <v>198</v>
      </c>
      <c r="G50" s="110"/>
      <c r="H50" s="51"/>
      <c r="I50" s="228" t="n">
        <f aca="false">716.4</f>
        <v>716.4</v>
      </c>
      <c r="J50" s="1"/>
      <c r="K50" s="1"/>
      <c r="L50" s="1"/>
      <c r="M50" s="1"/>
    </row>
    <row r="51" customFormat="false" ht="15" hidden="false" customHeight="true" outlineLevel="0" collapsed="false">
      <c r="B51" s="229" t="s">
        <v>175</v>
      </c>
      <c r="C51" s="230"/>
      <c r="D51" s="230"/>
      <c r="E51" s="231" t="n">
        <f aca="false">E47*E44+E48*E40</f>
        <v>0.0623652933550257</v>
      </c>
      <c r="F51" s="226" t="s">
        <v>199</v>
      </c>
      <c r="G51" s="97"/>
      <c r="H51" s="51"/>
      <c r="I51" s="232" t="n">
        <f aca="false">I49/I50</f>
        <v>488.75520769639</v>
      </c>
      <c r="J51" s="1"/>
      <c r="K51" s="1"/>
      <c r="L51" s="1"/>
      <c r="M51" s="1"/>
    </row>
    <row r="52" customFormat="false" ht="15" hidden="false" customHeight="true" outlineLevel="0" collapsed="false">
      <c r="B52" s="233"/>
      <c r="C52" s="234"/>
      <c r="D52" s="234"/>
      <c r="E52" s="235"/>
      <c r="F52" s="162"/>
      <c r="G52" s="121"/>
      <c r="H52" s="121"/>
      <c r="I52" s="208"/>
      <c r="J52" s="1"/>
      <c r="K52" s="1"/>
      <c r="L52" s="1"/>
      <c r="M52" s="1"/>
    </row>
  </sheetData>
  <mergeCells count="4">
    <mergeCell ref="G7:K7"/>
    <mergeCell ref="B34:E34"/>
    <mergeCell ref="F34:I34"/>
    <mergeCell ref="F42:I42"/>
  </mergeCells>
  <conditionalFormatting sqref="I44:I46 I49 I51">
    <cfRule type="expression" priority="2" aboveAverage="0" equalAverage="0" bottom="0" percent="0" rank="0" text="" dxfId="0">
      <formula>I44=""</formula>
    </cfRule>
  </conditionalFormatting>
  <conditionalFormatting sqref="E40 E44 E51">
    <cfRule type="expression" priority="3" aboveAverage="0" equalAverage="0" bottom="0" percent="0" rank="0" text="" dxfId="0">
      <formula>E40=""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2026-09-17T08:55:22Z</dcterms:created>
  <dc:creator>EDGE</dc:creator>
  <dc:description/>
  <dc:language>en-US</dc:language>
  <cp:lastModifiedBy>azeez lawal</cp:lastModifiedBy>
  <cp:lastPrinted>2026-09-17T21:11:26Z</cp:lastPrinted>
  <dcterms:modified xsi:type="dcterms:W3CDTF">2026-09-27T06:41:58Z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