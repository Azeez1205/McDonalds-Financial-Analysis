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f74f339ded19ce6/Documents/"/>
    </mc:Choice>
  </mc:AlternateContent>
  <xr:revisionPtr revIDLastSave="48" documentId="8_{15051BCC-FEB2-4F0D-BFCA-AF86325A4F30}" xr6:coauthVersionLast="47" xr6:coauthVersionMax="47" xr10:uidLastSave="{78ABE74E-D57B-4C98-801E-C21E5A662193}"/>
  <bookViews>
    <workbookView xWindow="-120" yWindow="-120" windowWidth="20730" windowHeight="11040" activeTab="4" xr2:uid="{D7D46332-35C1-46F6-8B77-F30C5D2B68F4}"/>
  </bookViews>
  <sheets>
    <sheet name="Raw financials" sheetId="2" r:id="rId1"/>
    <sheet name="Income Statement" sheetId="1" r:id="rId2"/>
    <sheet name="Balance sheet" sheetId="4" r:id="rId3"/>
    <sheet name="Cash flows" sheetId="3" r:id="rId4"/>
    <sheet name="DCF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7" i="5" l="1"/>
  <c r="I47" i="5"/>
  <c r="I13" i="3"/>
  <c r="J13" i="3"/>
  <c r="K13" i="3"/>
  <c r="H13" i="3"/>
  <c r="H23" i="5"/>
  <c r="G32" i="1"/>
  <c r="E26" i="3"/>
  <c r="F26" i="3"/>
  <c r="D26" i="3"/>
  <c r="E24" i="3"/>
  <c r="F24" i="3"/>
  <c r="D24" i="3"/>
  <c r="E27" i="3"/>
  <c r="E7" i="4" s="1"/>
  <c r="G7" i="4" s="1"/>
  <c r="F27" i="3"/>
  <c r="F7" i="4" s="1"/>
  <c r="I48" i="5" s="1"/>
  <c r="D27" i="3"/>
  <c r="E25" i="3"/>
  <c r="F25" i="3"/>
  <c r="D25" i="3"/>
  <c r="E21" i="3"/>
  <c r="F21" i="3"/>
  <c r="D21" i="3"/>
  <c r="G21" i="3" s="1"/>
  <c r="E18" i="3"/>
  <c r="F18" i="3"/>
  <c r="D18" i="3"/>
  <c r="E14" i="3"/>
  <c r="E15" i="3" s="1"/>
  <c r="F14" i="3"/>
  <c r="F15" i="3" s="1"/>
  <c r="D14" i="3"/>
  <c r="E9" i="3"/>
  <c r="F9" i="3"/>
  <c r="D9" i="3"/>
  <c r="E10" i="3"/>
  <c r="F10" i="3"/>
  <c r="D10" i="3"/>
  <c r="F20" i="4"/>
  <c r="E20" i="4"/>
  <c r="F19" i="4"/>
  <c r="E19" i="4"/>
  <c r="F16" i="4"/>
  <c r="E16" i="4"/>
  <c r="F17" i="4"/>
  <c r="E17" i="4"/>
  <c r="F18" i="4"/>
  <c r="E18" i="4"/>
  <c r="F15" i="4"/>
  <c r="E15" i="4"/>
  <c r="F23" i="4"/>
  <c r="E23" i="4"/>
  <c r="F11" i="4"/>
  <c r="F10" i="4"/>
  <c r="E10" i="4"/>
  <c r="E11" i="4"/>
  <c r="F12" i="4"/>
  <c r="E12" i="4"/>
  <c r="F9" i="4"/>
  <c r="E9" i="4"/>
  <c r="F4" i="4"/>
  <c r="G4" i="4" s="1"/>
  <c r="H4" i="4" s="1"/>
  <c r="I4" i="4" s="1"/>
  <c r="J4" i="4" s="1"/>
  <c r="K4" i="4" s="1"/>
  <c r="E4" i="3"/>
  <c r="F4" i="3" s="1"/>
  <c r="G4" i="3" s="1"/>
  <c r="H4" i="3" s="1"/>
  <c r="I4" i="3" s="1"/>
  <c r="J4" i="3" s="1"/>
  <c r="K4" i="3" s="1"/>
  <c r="E26" i="1"/>
  <c r="F26" i="1" s="1"/>
  <c r="G26" i="1" s="1"/>
  <c r="H26" i="1" s="1"/>
  <c r="I26" i="1" s="1"/>
  <c r="J26" i="1" s="1"/>
  <c r="K26" i="1" s="1"/>
  <c r="E8" i="1"/>
  <c r="F8" i="1" s="1"/>
  <c r="G8" i="1" s="1"/>
  <c r="H8" i="1" s="1"/>
  <c r="I8" i="1" s="1"/>
  <c r="J8" i="1" s="1"/>
  <c r="K8" i="1" s="1"/>
  <c r="E19" i="1"/>
  <c r="E15" i="5" s="1"/>
  <c r="F19" i="1"/>
  <c r="F15" i="5" s="1"/>
  <c r="D19" i="1"/>
  <c r="D15" i="5" s="1"/>
  <c r="E16" i="1"/>
  <c r="F16" i="1"/>
  <c r="E17" i="1"/>
  <c r="F17" i="1"/>
  <c r="D17" i="1"/>
  <c r="D16" i="1"/>
  <c r="E13" i="1"/>
  <c r="F13" i="1"/>
  <c r="E14" i="1"/>
  <c r="F14" i="1"/>
  <c r="D14" i="1"/>
  <c r="D13" i="1"/>
  <c r="E11" i="1"/>
  <c r="F11" i="1"/>
  <c r="D11" i="1"/>
  <c r="E44" i="5"/>
  <c r="I50" i="5"/>
  <c r="E40" i="5"/>
  <c r="F28" i="5"/>
  <c r="E28" i="5"/>
  <c r="G26" i="5"/>
  <c r="G28" i="5" s="1"/>
  <c r="F23" i="5"/>
  <c r="E23" i="5"/>
  <c r="D23" i="5"/>
  <c r="K10" i="5"/>
  <c r="J10" i="5"/>
  <c r="I10" i="5"/>
  <c r="H10" i="5"/>
  <c r="G10" i="5"/>
  <c r="D10" i="5"/>
  <c r="G8" i="5"/>
  <c r="E8" i="5"/>
  <c r="D8" i="5" s="1"/>
  <c r="G8" i="4"/>
  <c r="G29" i="3"/>
  <c r="G26" i="3"/>
  <c r="G25" i="3"/>
  <c r="G24" i="3"/>
  <c r="H24" i="3" s="1"/>
  <c r="F22" i="3"/>
  <c r="E22" i="3"/>
  <c r="D22" i="3"/>
  <c r="G20" i="3"/>
  <c r="H20" i="3" s="1"/>
  <c r="G19" i="3"/>
  <c r="D15" i="3"/>
  <c r="K23" i="5"/>
  <c r="J23" i="5"/>
  <c r="I23" i="5"/>
  <c r="G23" i="5"/>
  <c r="F8" i="3"/>
  <c r="F23" i="1" s="1"/>
  <c r="E8" i="3"/>
  <c r="E23" i="1" s="1"/>
  <c r="D8" i="3"/>
  <c r="D23" i="1" s="1"/>
  <c r="F10" i="1"/>
  <c r="F9" i="5" s="1"/>
  <c r="E10" i="1"/>
  <c r="E9" i="5" s="1"/>
  <c r="D10" i="1"/>
  <c r="D9" i="5" s="1"/>
  <c r="G27" i="3" l="1"/>
  <c r="H27" i="3" s="1"/>
  <c r="G18" i="3"/>
  <c r="G14" i="3"/>
  <c r="H14" i="3" s="1"/>
  <c r="G9" i="3"/>
  <c r="G10" i="3"/>
  <c r="H10" i="3" s="1"/>
  <c r="G10" i="4"/>
  <c r="H10" i="4" s="1"/>
  <c r="I10" i="4" s="1"/>
  <c r="G20" i="4"/>
  <c r="H20" i="4" s="1"/>
  <c r="G12" i="4"/>
  <c r="H12" i="4" s="1"/>
  <c r="G15" i="4"/>
  <c r="H15" i="4" s="1"/>
  <c r="I15" i="4" s="1"/>
  <c r="E12" i="1"/>
  <c r="E15" i="1" s="1"/>
  <c r="E18" i="1" s="1"/>
  <c r="E20" i="1" s="1"/>
  <c r="D49" i="5"/>
  <c r="E48" i="5" s="1"/>
  <c r="G23" i="4"/>
  <c r="H23" i="4" s="1"/>
  <c r="G18" i="4"/>
  <c r="H18" i="4" s="1"/>
  <c r="G17" i="4"/>
  <c r="H17" i="4" s="1"/>
  <c r="D12" i="1"/>
  <c r="D15" i="1" s="1"/>
  <c r="D18" i="1" s="1"/>
  <c r="D20" i="1" s="1"/>
  <c r="F12" i="1"/>
  <c r="F15" i="1" s="1"/>
  <c r="F18" i="1" s="1"/>
  <c r="F20" i="1" s="1"/>
  <c r="E13" i="4"/>
  <c r="G19" i="4"/>
  <c r="H19" i="4" s="1"/>
  <c r="G16" i="4"/>
  <c r="H16" i="4" s="1"/>
  <c r="I16" i="4" s="1"/>
  <c r="E21" i="4"/>
  <c r="E24" i="4" s="1"/>
  <c r="F21" i="4"/>
  <c r="F24" i="4" s="1"/>
  <c r="G11" i="4"/>
  <c r="H11" i="4" s="1"/>
  <c r="G9" i="4"/>
  <c r="F13" i="4"/>
  <c r="H26" i="5"/>
  <c r="H28" i="5" s="1"/>
  <c r="D20" i="5"/>
  <c r="D21" i="5" s="1"/>
  <c r="E20" i="5"/>
  <c r="E21" i="5" s="1"/>
  <c r="F20" i="5"/>
  <c r="F21" i="5" s="1"/>
  <c r="H8" i="5"/>
  <c r="I8" i="5" s="1"/>
  <c r="J8" i="5" s="1"/>
  <c r="K8" i="5" s="1"/>
  <c r="F36" i="5" s="1"/>
  <c r="H8" i="4"/>
  <c r="I8" i="4" s="1"/>
  <c r="H7" i="4"/>
  <c r="G15" i="3"/>
  <c r="H21" i="3"/>
  <c r="I14" i="3"/>
  <c r="J14" i="3" s="1"/>
  <c r="K14" i="3" s="1"/>
  <c r="I27" i="3"/>
  <c r="J27" i="3" s="1"/>
  <c r="K27" i="3" s="1"/>
  <c r="I24" i="3"/>
  <c r="J24" i="3" s="1"/>
  <c r="H18" i="3"/>
  <c r="I20" i="3"/>
  <c r="J20" i="3" s="1"/>
  <c r="K20" i="3" s="1"/>
  <c r="G22" i="3"/>
  <c r="H26" i="3"/>
  <c r="I26" i="3" s="1"/>
  <c r="H19" i="3"/>
  <c r="I19" i="3" s="1"/>
  <c r="H29" i="3"/>
  <c r="I29" i="3" s="1"/>
  <c r="H25" i="3"/>
  <c r="D30" i="1"/>
  <c r="F30" i="1"/>
  <c r="E30" i="1"/>
  <c r="E29" i="1"/>
  <c r="F29" i="1"/>
  <c r="E31" i="1"/>
  <c r="D31" i="1"/>
  <c r="F31" i="1"/>
  <c r="D29" i="1"/>
  <c r="G10" i="1"/>
  <c r="F28" i="1"/>
  <c r="E27" i="1"/>
  <c r="E10" i="5" s="1"/>
  <c r="E28" i="1"/>
  <c r="D28" i="1"/>
  <c r="F27" i="1"/>
  <c r="F10" i="5" s="1"/>
  <c r="I10" i="3" l="1"/>
  <c r="J10" i="3" s="1"/>
  <c r="K10" i="3" s="1"/>
  <c r="I23" i="4"/>
  <c r="J23" i="4" s="1"/>
  <c r="K23" i="4" s="1"/>
  <c r="G13" i="4"/>
  <c r="I11" i="4"/>
  <c r="J11" i="4" s="1"/>
  <c r="K11" i="4" s="1"/>
  <c r="I17" i="4"/>
  <c r="J17" i="4" s="1"/>
  <c r="K17" i="4" s="1"/>
  <c r="H9" i="4"/>
  <c r="I9" i="4" s="1"/>
  <c r="J10" i="4"/>
  <c r="K10" i="4" s="1"/>
  <c r="G21" i="4"/>
  <c r="G24" i="4" s="1"/>
  <c r="I12" i="4"/>
  <c r="J12" i="4" s="1"/>
  <c r="G9" i="5"/>
  <c r="G24" i="5" s="1"/>
  <c r="I26" i="5"/>
  <c r="E47" i="5"/>
  <c r="E51" i="5" s="1"/>
  <c r="J16" i="4"/>
  <c r="K16" i="4" s="1"/>
  <c r="F44" i="5"/>
  <c r="I18" i="4"/>
  <c r="J18" i="4" s="1"/>
  <c r="I19" i="4"/>
  <c r="J15" i="4"/>
  <c r="K15" i="4" s="1"/>
  <c r="H21" i="4"/>
  <c r="H24" i="4" s="1"/>
  <c r="I7" i="4"/>
  <c r="J7" i="4" s="1"/>
  <c r="J8" i="4"/>
  <c r="K8" i="4" s="1"/>
  <c r="I20" i="4"/>
  <c r="J20" i="4" s="1"/>
  <c r="K24" i="3"/>
  <c r="I21" i="3"/>
  <c r="J21" i="3" s="1"/>
  <c r="H22" i="3"/>
  <c r="I25" i="3"/>
  <c r="I15" i="3"/>
  <c r="J29" i="3"/>
  <c r="K29" i="3" s="1"/>
  <c r="I18" i="3"/>
  <c r="J19" i="3"/>
  <c r="K19" i="3" s="1"/>
  <c r="H15" i="3"/>
  <c r="J26" i="3"/>
  <c r="K26" i="3" s="1"/>
  <c r="G30" i="1"/>
  <c r="G8" i="3" s="1"/>
  <c r="F22" i="1"/>
  <c r="E32" i="1"/>
  <c r="E22" i="1"/>
  <c r="D32" i="1"/>
  <c r="D22" i="1"/>
  <c r="G29" i="1"/>
  <c r="H29" i="1" s="1"/>
  <c r="G28" i="1"/>
  <c r="G11" i="1" s="1"/>
  <c r="G12" i="1" s="1"/>
  <c r="H10" i="1"/>
  <c r="G31" i="1"/>
  <c r="H13" i="4" l="1"/>
  <c r="J9" i="4"/>
  <c r="K9" i="4" s="1"/>
  <c r="H31" i="5"/>
  <c r="I31" i="5"/>
  <c r="J31" i="5"/>
  <c r="K31" i="5"/>
  <c r="G31" i="5"/>
  <c r="I13" i="4"/>
  <c r="K12" i="4"/>
  <c r="H9" i="5"/>
  <c r="H24" i="5" s="1"/>
  <c r="I28" i="5"/>
  <c r="J26" i="5"/>
  <c r="I21" i="4"/>
  <c r="I24" i="4" s="1"/>
  <c r="E24" i="1"/>
  <c r="E12" i="5"/>
  <c r="D24" i="1"/>
  <c r="D12" i="5"/>
  <c r="F24" i="1"/>
  <c r="F12" i="5"/>
  <c r="G20" i="5"/>
  <c r="K20" i="4"/>
  <c r="J19" i="4"/>
  <c r="J21" i="4" s="1"/>
  <c r="J24" i="4" s="1"/>
  <c r="K7" i="4"/>
  <c r="I22" i="3"/>
  <c r="K18" i="4"/>
  <c r="K15" i="3"/>
  <c r="J25" i="3"/>
  <c r="K25" i="3" s="1"/>
  <c r="K21" i="3"/>
  <c r="J18" i="3"/>
  <c r="J22" i="3" s="1"/>
  <c r="H30" i="1"/>
  <c r="F7" i="3"/>
  <c r="F11" i="3" s="1"/>
  <c r="G23" i="1"/>
  <c r="F32" i="1"/>
  <c r="G13" i="1"/>
  <c r="H28" i="1"/>
  <c r="H11" i="1" s="1"/>
  <c r="H12" i="1" s="1"/>
  <c r="I10" i="1"/>
  <c r="G14" i="1"/>
  <c r="H31" i="1"/>
  <c r="E7" i="3"/>
  <c r="E11" i="3" s="1"/>
  <c r="E33" i="1"/>
  <c r="D7" i="3"/>
  <c r="D11" i="3" s="1"/>
  <c r="D33" i="1"/>
  <c r="I29" i="1"/>
  <c r="H13" i="1"/>
  <c r="J13" i="4" l="1"/>
  <c r="G15" i="1"/>
  <c r="K13" i="4"/>
  <c r="J28" i="5"/>
  <c r="K26" i="5"/>
  <c r="K28" i="5" s="1"/>
  <c r="D13" i="5"/>
  <c r="D16" i="5"/>
  <c r="D18" i="5"/>
  <c r="E13" i="5"/>
  <c r="E16" i="5"/>
  <c r="E18" i="5"/>
  <c r="J10" i="1"/>
  <c r="I9" i="5"/>
  <c r="I24" i="5" s="1"/>
  <c r="F18" i="5"/>
  <c r="F16" i="5"/>
  <c r="F13" i="5"/>
  <c r="G21" i="5"/>
  <c r="K19" i="4"/>
  <c r="K21" i="4" s="1"/>
  <c r="K24" i="4" s="1"/>
  <c r="J15" i="3"/>
  <c r="I30" i="1"/>
  <c r="I8" i="3" s="1"/>
  <c r="H8" i="3"/>
  <c r="K18" i="3"/>
  <c r="K22" i="3" s="1"/>
  <c r="F33" i="1"/>
  <c r="H32" i="1"/>
  <c r="I32" i="1" s="1"/>
  <c r="I28" i="1"/>
  <c r="I11" i="1" s="1"/>
  <c r="I12" i="1" s="1"/>
  <c r="I13" i="1"/>
  <c r="I31" i="1"/>
  <c r="I14" i="1" s="1"/>
  <c r="H14" i="1"/>
  <c r="J29" i="1"/>
  <c r="I15" i="1" l="1"/>
  <c r="H15" i="1"/>
  <c r="J9" i="5"/>
  <c r="J24" i="5" s="1"/>
  <c r="K10" i="1"/>
  <c r="H20" i="5"/>
  <c r="I20" i="5"/>
  <c r="J30" i="1"/>
  <c r="J8" i="3" s="1"/>
  <c r="H23" i="1"/>
  <c r="J32" i="1"/>
  <c r="K32" i="1" s="1"/>
  <c r="J28" i="1"/>
  <c r="K28" i="1" s="1"/>
  <c r="I23" i="1"/>
  <c r="J31" i="1"/>
  <c r="J14" i="1" s="1"/>
  <c r="G22" i="1"/>
  <c r="G16" i="1"/>
  <c r="G18" i="1" s="1"/>
  <c r="G19" i="1" s="1"/>
  <c r="G20" i="1" s="1"/>
  <c r="K29" i="1"/>
  <c r="J13" i="1"/>
  <c r="H16" i="1" l="1"/>
  <c r="H22" i="1"/>
  <c r="H12" i="5" s="1"/>
  <c r="H13" i="5" s="1"/>
  <c r="K9" i="5"/>
  <c r="K24" i="5" s="1"/>
  <c r="K13" i="1"/>
  <c r="G12" i="5"/>
  <c r="G13" i="5" s="1"/>
  <c r="G24" i="1"/>
  <c r="K11" i="1"/>
  <c r="K12" i="1" s="1"/>
  <c r="J20" i="5"/>
  <c r="I21" i="5"/>
  <c r="H21" i="5"/>
  <c r="K30" i="1"/>
  <c r="K8" i="3" s="1"/>
  <c r="J11" i="1"/>
  <c r="J23" i="1"/>
  <c r="K31" i="1"/>
  <c r="K14" i="1" s="1"/>
  <c r="I22" i="1"/>
  <c r="I16" i="1"/>
  <c r="G15" i="5"/>
  <c r="H24" i="1" l="1"/>
  <c r="K15" i="1"/>
  <c r="K22" i="1" s="1"/>
  <c r="I18" i="1"/>
  <c r="J12" i="1"/>
  <c r="J15" i="1" s="1"/>
  <c r="J22" i="1" s="1"/>
  <c r="H18" i="1"/>
  <c r="G16" i="5"/>
  <c r="I12" i="5"/>
  <c r="I13" i="5" s="1"/>
  <c r="I24" i="1"/>
  <c r="G18" i="5"/>
  <c r="G30" i="5" s="1"/>
  <c r="G32" i="5" s="1"/>
  <c r="K20" i="5"/>
  <c r="J21" i="5"/>
  <c r="K23" i="1"/>
  <c r="G7" i="3"/>
  <c r="G11" i="3" s="1"/>
  <c r="K16" i="1" l="1"/>
  <c r="K18" i="1" s="1"/>
  <c r="K19" i="1" s="1"/>
  <c r="K20" i="1" s="1"/>
  <c r="K7" i="3" s="1"/>
  <c r="K11" i="3" s="1"/>
  <c r="J12" i="5"/>
  <c r="J13" i="5" s="1"/>
  <c r="J24" i="1"/>
  <c r="H19" i="1"/>
  <c r="H15" i="5" s="1"/>
  <c r="I19" i="1"/>
  <c r="I15" i="5" s="1"/>
  <c r="I18" i="5" s="1"/>
  <c r="I30" i="5" s="1"/>
  <c r="I32" i="5" s="1"/>
  <c r="J16" i="1"/>
  <c r="K12" i="5"/>
  <c r="K24" i="1"/>
  <c r="K21" i="5"/>
  <c r="K15" i="5" l="1"/>
  <c r="K18" i="5" s="1"/>
  <c r="K30" i="5" s="1"/>
  <c r="H18" i="5"/>
  <c r="H30" i="5" s="1"/>
  <c r="H32" i="5" s="1"/>
  <c r="H16" i="5"/>
  <c r="I16" i="5"/>
  <c r="H20" i="1"/>
  <c r="H7" i="3" s="1"/>
  <c r="H11" i="3" s="1"/>
  <c r="I20" i="1"/>
  <c r="I7" i="3" s="1"/>
  <c r="I11" i="3" s="1"/>
  <c r="J18" i="1"/>
  <c r="K13" i="5"/>
  <c r="K16" i="5" l="1"/>
  <c r="J19" i="1"/>
  <c r="J15" i="5" s="1"/>
  <c r="I36" i="5"/>
  <c r="I38" i="5" s="1"/>
  <c r="I39" i="5" s="1"/>
  <c r="K32" i="5"/>
  <c r="I45" i="5" l="1"/>
  <c r="J16" i="5"/>
  <c r="J18" i="5"/>
  <c r="J30" i="5" s="1"/>
  <c r="J32" i="5" s="1"/>
  <c r="J20" i="1"/>
  <c r="J7" i="3" s="1"/>
  <c r="J11" i="3" s="1"/>
  <c r="I44" i="5" l="1"/>
  <c r="I46" i="5" s="1"/>
  <c r="I49" i="5" s="1"/>
  <c r="I51" i="5" s="1"/>
</calcChain>
</file>

<file path=xl/sharedStrings.xml><?xml version="1.0" encoding="utf-8"?>
<sst xmlns="http://schemas.openxmlformats.org/spreadsheetml/2006/main" count="277" uniqueCount="199">
  <si>
    <t>McDonalds Corp</t>
  </si>
  <si>
    <t xml:space="preserve">MCD </t>
  </si>
  <si>
    <t>Amounts in millions</t>
  </si>
  <si>
    <t>Units</t>
  </si>
  <si>
    <t>$m</t>
  </si>
  <si>
    <t>Revenue</t>
  </si>
  <si>
    <t>Cost of Sales</t>
  </si>
  <si>
    <t>Gross Profit</t>
  </si>
  <si>
    <t>Operating Income</t>
  </si>
  <si>
    <t>Pretax Income</t>
  </si>
  <si>
    <t>Net Income</t>
  </si>
  <si>
    <t>EBIT</t>
  </si>
  <si>
    <r>
      <t>Depreciation &amp; Amortization</t>
    </r>
    <r>
      <rPr>
        <vertAlign val="superscript"/>
        <sz val="11"/>
        <color theme="1"/>
        <rFont val="Calibri"/>
        <family val="2"/>
        <scheme val="minor"/>
      </rPr>
      <t>1</t>
    </r>
  </si>
  <si>
    <t>EBITDA</t>
  </si>
  <si>
    <t>Consolidated Statement of Income - USD ($)</t>
  </si>
  <si>
    <t>$ in Millions</t>
  </si>
  <si>
    <t>12 Months Ended</t>
  </si>
  <si>
    <t>Dec. 31, 2025</t>
  </si>
  <si>
    <t>Dec. 31, 2024</t>
  </si>
  <si>
    <t>Dec. 31, 2023</t>
  </si>
  <si>
    <t>REVENUES</t>
  </si>
  <si>
    <t>Revenues from franchised restaurants</t>
  </si>
  <si>
    <t>Sales by Company-owned and operated restaurants</t>
  </si>
  <si>
    <t>Other revenues</t>
  </si>
  <si>
    <t>Total revenues</t>
  </si>
  <si>
    <t>OPERATING COSTS AND EXPENSES</t>
  </si>
  <si>
    <t>Franchised restaurants-occupancy expenses</t>
  </si>
  <si>
    <t>Food &amp; paper</t>
  </si>
  <si>
    <t>Payroll &amp; employee benefits</t>
  </si>
  <si>
    <t>Occupancy &amp; other operating expenses</t>
  </si>
  <si>
    <t>Other restaurant expenses</t>
  </si>
  <si>
    <t>Depreciation and amortization</t>
  </si>
  <si>
    <t>Other</t>
  </si>
  <si>
    <t>Other operating (income) expense, net</t>
  </si>
  <si>
    <t>Total operating costs and expenses</t>
  </si>
  <si>
    <t>Operating income</t>
  </si>
  <si>
    <t>Interest expense-net of capitalized interest of $29, $22 and $14</t>
  </si>
  <si>
    <t>Nonoperating (income) expense, net</t>
  </si>
  <si>
    <t>Income before provision for income taxes</t>
  </si>
  <si>
    <t>Provision for income taxes</t>
  </si>
  <si>
    <t>Net income</t>
  </si>
  <si>
    <t>Earnings per common share–basic</t>
  </si>
  <si>
    <t>Earnings per common share–diluted</t>
  </si>
  <si>
    <t>Dividends declared per common share</t>
  </si>
  <si>
    <t>Weighted-average shares outstanding–basic</t>
  </si>
  <si>
    <t>Weighted-average shares outstanding–diluted</t>
  </si>
  <si>
    <t>Operating Expenses</t>
  </si>
  <si>
    <t>Income Statement Assumptions</t>
  </si>
  <si>
    <t>Revenue Growth</t>
  </si>
  <si>
    <t>Cost of Sales % Revenues</t>
  </si>
  <si>
    <t>D&amp;A as a % of Revenue</t>
  </si>
  <si>
    <t>Taxes % of Profit Before Tax</t>
  </si>
  <si>
    <t>%</t>
  </si>
  <si>
    <t>Operating Expenses(% of Revenue)</t>
  </si>
  <si>
    <t>Interest Income(% of income)</t>
  </si>
  <si>
    <t>Projections</t>
  </si>
  <si>
    <t>-</t>
  </si>
  <si>
    <t>Source:ValueInvesting.io</t>
  </si>
  <si>
    <t>DCF Analysis</t>
  </si>
  <si>
    <t>% of Revenue</t>
  </si>
  <si>
    <t>% of Revenue growth</t>
  </si>
  <si>
    <t>EBIT margin</t>
  </si>
  <si>
    <t>Taxes</t>
  </si>
  <si>
    <t>% of EBIT</t>
  </si>
  <si>
    <t>EBIAT</t>
  </si>
  <si>
    <t>Depreciation &amp; Amortization</t>
  </si>
  <si>
    <t>Capital Expenditure</t>
  </si>
  <si>
    <t>Consolidated Statement of Cash Flows - USD ($)</t>
  </si>
  <si>
    <t>Operating activities</t>
  </si>
  <si>
    <t>Charges and credits:</t>
  </si>
  <si>
    <t>Deferred income taxes</t>
  </si>
  <si>
    <t>Share-based compensation expense</t>
  </si>
  <si>
    <t>Net (gain) loss on sale of restaurant and other businesses</t>
  </si>
  <si>
    <t>Changes in working capital items:</t>
  </si>
  <si>
    <t>Accounts receivable</t>
  </si>
  <si>
    <t>Inventories, prepaid expenses and other current assets</t>
  </si>
  <si>
    <t>Accounts payable</t>
  </si>
  <si>
    <t>Income taxes</t>
  </si>
  <si>
    <t>Other accrued liabilities</t>
  </si>
  <si>
    <t>Cash provided by operations</t>
  </si>
  <si>
    <t>Investing activities</t>
  </si>
  <si>
    <t>Capital expenditures</t>
  </si>
  <si>
    <t>Purchases of restaurant businesses</t>
  </si>
  <si>
    <t>Payments to Acquire Equity Method Investments</t>
  </si>
  <si>
    <t>Sales of restaurant and other businesses</t>
  </si>
  <si>
    <t>Sales of property</t>
  </si>
  <si>
    <t>Cash used for investing activities</t>
  </si>
  <si>
    <t>Financing activities</t>
  </si>
  <si>
    <t>Net short-term borrowings</t>
  </si>
  <si>
    <t>Long-term financing issuances</t>
  </si>
  <si>
    <t>Long-term financing repayments</t>
  </si>
  <si>
    <t>Treasury stock purchases</t>
  </si>
  <si>
    <t>Common stock dividends</t>
  </si>
  <si>
    <t>Proceeds from stock option exercises</t>
  </si>
  <si>
    <t>Cash used for financing activities</t>
  </si>
  <si>
    <t>Effect of exchange rates on cash and equivalents</t>
  </si>
  <si>
    <t>Cash and equivalents increase (decrease)</t>
  </si>
  <si>
    <t>Cash and equivalents at beginning of year</t>
  </si>
  <si>
    <t>Cash and equivalents at end of year</t>
  </si>
  <si>
    <t>Supplemental cash flow disclosures</t>
  </si>
  <si>
    <t>Interest Paid</t>
  </si>
  <si>
    <t>Net Working Capital</t>
  </si>
  <si>
    <t>Changes in Net Working Capital</t>
  </si>
  <si>
    <t>Unlevered Free Cash Flow</t>
  </si>
  <si>
    <t>Present value of  Free Cash Flow</t>
  </si>
  <si>
    <t>Statement  of Cash flows</t>
  </si>
  <si>
    <t>Statement of Profit or Loss</t>
  </si>
  <si>
    <t>Operating Cash flow</t>
  </si>
  <si>
    <t>Other expenses</t>
  </si>
  <si>
    <t>Other Expenses as a % of Revenue</t>
  </si>
  <si>
    <t>Investing Cash Flow</t>
  </si>
  <si>
    <t>Consolidated Balance Sheet - USD ($)</t>
  </si>
  <si>
    <t>Current assets</t>
  </si>
  <si>
    <t>Cash and equivalents</t>
  </si>
  <si>
    <t>Accounts and notes receivable</t>
  </si>
  <si>
    <t>Inventories, at cost, not in excess of market</t>
  </si>
  <si>
    <t>Prepaid expenses and other current assets</t>
  </si>
  <si>
    <t>Total current assets</t>
  </si>
  <si>
    <t>Other assets</t>
  </si>
  <si>
    <t>Investments in and advances to affiliates</t>
  </si>
  <si>
    <t>Goodwill</t>
  </si>
  <si>
    <t>Miscellaneous</t>
  </si>
  <si>
    <t>Total other assets</t>
  </si>
  <si>
    <t>Lease right-of use asset, net</t>
  </si>
  <si>
    <t>Property and equipment</t>
  </si>
  <si>
    <t>Property and equipment, at cost</t>
  </si>
  <si>
    <t>Accumulated depreciation and amortization</t>
  </si>
  <si>
    <t>Net property and equipment</t>
  </si>
  <si>
    <t>Total assets</t>
  </si>
  <si>
    <t>Current liabilities</t>
  </si>
  <si>
    <t>Current lease liability</t>
  </si>
  <si>
    <t>Other taxes</t>
  </si>
  <si>
    <t>Accrued interest</t>
  </si>
  <si>
    <t>Accrued payroll and other liabilities</t>
  </si>
  <si>
    <t>Total current liabilities</t>
  </si>
  <si>
    <t>Long-term debt</t>
  </si>
  <si>
    <t>Long-term lease liability (noncurrent), net</t>
  </si>
  <si>
    <t>Long-term income taxes</t>
  </si>
  <si>
    <t>Deferred revenues - initial franchise fees</t>
  </si>
  <si>
    <t>Other long-term liabilities</t>
  </si>
  <si>
    <t>Shareholders' equity (deficit)</t>
  </si>
  <si>
    <t>Preferred stock, no par value; authorized – 165.0 million shares; issued – none</t>
  </si>
  <si>
    <t>Common stock, $.01 par value; authorized – 3.5 billion shares; issued – 1,660.6 million shares</t>
  </si>
  <si>
    <t>Additional paid-in capital</t>
  </si>
  <si>
    <t>Retained earnings</t>
  </si>
  <si>
    <t>Accumulated other comprehensive income (loss)</t>
  </si>
  <si>
    <t>Common stock in treasury, at cost; 950.0 and 945.4 million shares</t>
  </si>
  <si>
    <t>Total shareholders' equity (deficit)</t>
  </si>
  <si>
    <t>Total liabilities and shareholders' equity (deficit)</t>
  </si>
  <si>
    <t>Statement  of Financial position</t>
  </si>
  <si>
    <t>3 Statement Financial Model</t>
  </si>
  <si>
    <t>WACC</t>
  </si>
  <si>
    <t>Weighted Average Cost of Capital</t>
  </si>
  <si>
    <r>
      <t>Risk free rate (R</t>
    </r>
    <r>
      <rPr>
        <vertAlign val="subscript"/>
        <sz val="10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)</t>
    </r>
  </si>
  <si>
    <t>Equity Beta</t>
  </si>
  <si>
    <r>
      <t>Equity risk premium (R</t>
    </r>
    <r>
      <rPr>
        <vertAlign val="subscript"/>
        <sz val="10"/>
        <rFont val="Calibri"/>
        <family val="2"/>
        <scheme val="minor"/>
      </rPr>
      <t>m</t>
    </r>
    <r>
      <rPr>
        <sz val="11"/>
        <color theme="1"/>
        <rFont val="Calibri"/>
        <family val="2"/>
        <scheme val="minor"/>
      </rPr>
      <t xml:space="preserve"> - R</t>
    </r>
    <r>
      <rPr>
        <vertAlign val="subscript"/>
        <sz val="10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)</t>
    </r>
  </si>
  <si>
    <t>Cost of debt</t>
  </si>
  <si>
    <t>Tax rate</t>
  </si>
  <si>
    <t>Percentage of Capital</t>
  </si>
  <si>
    <t>Debt</t>
  </si>
  <si>
    <t>Equity</t>
  </si>
  <si>
    <t>Total capital</t>
  </si>
  <si>
    <t>Terminal Value - Perpetuity Growth</t>
  </si>
  <si>
    <t>Perpetuity growth rate</t>
  </si>
  <si>
    <t>Terminal Value</t>
  </si>
  <si>
    <t>PV of Terminal value</t>
  </si>
  <si>
    <t>DCF Value - Perpetuity Growth</t>
  </si>
  <si>
    <t>PV of Terminal Value</t>
  </si>
  <si>
    <t>Implied Enterprise Value</t>
  </si>
  <si>
    <t>Less: Debt</t>
  </si>
  <si>
    <t>Add: Cash</t>
  </si>
  <si>
    <t>Implied Equity Value</t>
  </si>
  <si>
    <t>Diluted shares</t>
  </si>
  <si>
    <t>Implied Value Per Share</t>
  </si>
  <si>
    <t>Implied value per share</t>
  </si>
  <si>
    <t>Discounted Cash flow Analysis</t>
  </si>
  <si>
    <t>Actuals</t>
  </si>
  <si>
    <t>$</t>
  </si>
  <si>
    <t>Inventories &amp; other</t>
  </si>
  <si>
    <t xml:space="preserve">Net PPE, Goodwill &amp; Intangibles </t>
  </si>
  <si>
    <t>Op, lease assets</t>
  </si>
  <si>
    <t>Assets</t>
  </si>
  <si>
    <t>Other Income (Expense)</t>
  </si>
  <si>
    <r>
      <t>Tax Provision</t>
    </r>
    <r>
      <rPr>
        <vertAlign val="super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(Income)</t>
    </r>
  </si>
  <si>
    <t>Interest Income (Expense)</t>
  </si>
  <si>
    <t>Liabilities &amp; Equity</t>
  </si>
  <si>
    <t>Accrued liabilities</t>
  </si>
  <si>
    <t>Total Debt</t>
  </si>
  <si>
    <t>Op lease liabilities</t>
  </si>
  <si>
    <t>Other liabilities</t>
  </si>
  <si>
    <t>Total Liabilities</t>
  </si>
  <si>
    <t>Common shareholders equity</t>
  </si>
  <si>
    <t>Discounting Factor</t>
  </si>
  <si>
    <t>Other Items</t>
  </si>
  <si>
    <t>Acquisitions and other</t>
  </si>
  <si>
    <t>Long-term financing issuances and repayments</t>
  </si>
  <si>
    <t>Proceeds and other</t>
  </si>
  <si>
    <r>
      <t>After-tax Cost of Debt (K</t>
    </r>
    <r>
      <rPr>
        <b/>
        <vertAlign val="subscript"/>
        <sz val="11"/>
        <rFont val="Calibri"/>
        <family val="2"/>
        <scheme val="minor"/>
      </rPr>
      <t>dt</t>
    </r>
    <r>
      <rPr>
        <b/>
        <sz val="11"/>
        <rFont val="Calibri"/>
        <family val="2"/>
        <scheme val="minor"/>
      </rPr>
      <t>)</t>
    </r>
  </si>
  <si>
    <r>
      <t>Cost of Equity (K</t>
    </r>
    <r>
      <rPr>
        <b/>
        <vertAlign val="subscript"/>
        <sz val="11"/>
        <rFont val="Calibri"/>
        <family val="2"/>
        <scheme val="minor"/>
      </rPr>
      <t>e</t>
    </r>
    <r>
      <rPr>
        <b/>
        <sz val="11"/>
        <rFont val="Calibri"/>
        <family val="2"/>
        <scheme val="minor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</si>
</sst>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3" formatCode="_(* #,##0.00_);_(* \(#,##0.00\);_(* &quot;-&quot;??_);_(@_)"/>
    <numFmt numFmtId="164" formatCode="&quot;FY&quot;0\A"/>
    <numFmt numFmtId="165" formatCode="&quot;FY&quot;0\E"/>
    <numFmt numFmtId="166" formatCode="_(* #,##0_);_(* \(#,##0\);_(* &quot;-&quot;??_);_(@_)"/>
    <numFmt numFmtId="167" formatCode="0.0%"/>
    <numFmt numFmtId="168" formatCode="&quot;FY&quot;\ yy&quot;A&quot;"/>
    <numFmt numFmtId="169" formatCode="&quot;FY&quot;\ yy&quot;E&quot;"/>
    <numFmt numFmtId="170" formatCode="#,##0.00%_);#,##0.00%"/>
    <numFmt numFmtId="171" formatCode="0.000"/>
    <numFmt numFmtId="172" formatCode="_(* #,##0.00_);_(* \(#,##0.00\);_(* &quot;-&quot;_);_(@_)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00FF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sz val="8"/>
      <color rgb="FF000000"/>
      <name val="Helvetica"/>
    </font>
    <font>
      <sz val="8"/>
      <color rgb="FF000000"/>
      <name val="Helvetica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i/>
      <sz val="8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vertAlign val="subscript"/>
      <sz val="1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vertAlign val="subscript"/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52B1E"/>
        <bgColor indexed="64"/>
      </patternFill>
    </fill>
    <fill>
      <patternFill patternType="solid">
        <fgColor rgb="FFFDC82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ACCFF"/>
        <bgColor indexed="64"/>
      </patternFill>
    </fill>
    <fill>
      <patternFill patternType="solid">
        <fgColor rgb="FFDDEEFF"/>
        <bgColor indexed="64"/>
      </patternFill>
    </fill>
    <fill>
      <patternFill patternType="solid">
        <fgColor rgb="FFC00000"/>
        <bgColor indexed="64"/>
      </patternFill>
    </fill>
  </fills>
  <borders count="5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D52B1E"/>
      </left>
      <right/>
      <top style="thin">
        <color rgb="FFD52B1E"/>
      </top>
      <bottom style="thin">
        <color rgb="FFD52B1E"/>
      </bottom>
      <diagonal/>
    </border>
    <border>
      <left/>
      <right/>
      <top style="thin">
        <color rgb="FFD52B1E"/>
      </top>
      <bottom style="thin">
        <color rgb="FFD52B1E"/>
      </bottom>
      <diagonal/>
    </border>
    <border>
      <left/>
      <right style="thin">
        <color rgb="FFD52B1E"/>
      </right>
      <top style="thin">
        <color rgb="FFD52B1E"/>
      </top>
      <bottom style="thin">
        <color rgb="FFD52B1E"/>
      </bottom>
      <diagonal/>
    </border>
    <border>
      <left style="thin">
        <color rgb="FFD52B1E"/>
      </left>
      <right/>
      <top style="thin">
        <color rgb="FFD52B1E"/>
      </top>
      <bottom/>
      <diagonal/>
    </border>
    <border>
      <left/>
      <right/>
      <top style="thin">
        <color rgb="FFD52B1E"/>
      </top>
      <bottom/>
      <diagonal/>
    </border>
    <border>
      <left/>
      <right style="thin">
        <color rgb="FFD52B1E"/>
      </right>
      <top style="thin">
        <color rgb="FFD52B1E"/>
      </top>
      <bottom/>
      <diagonal/>
    </border>
    <border>
      <left style="thin">
        <color rgb="FFD52B1E"/>
      </left>
      <right/>
      <top/>
      <bottom style="thin">
        <color rgb="FFD52B1E"/>
      </bottom>
      <diagonal/>
    </border>
    <border>
      <left/>
      <right/>
      <top/>
      <bottom style="thin">
        <color rgb="FFD52B1E"/>
      </bottom>
      <diagonal/>
    </border>
    <border>
      <left/>
      <right style="thin">
        <color rgb="FFD52B1E"/>
      </right>
      <top/>
      <bottom style="thin">
        <color rgb="FFD52B1E"/>
      </bottom>
      <diagonal/>
    </border>
    <border>
      <left/>
      <right/>
      <top/>
      <bottom style="medium">
        <color rgb="FFD52B1E"/>
      </bottom>
      <diagonal/>
    </border>
    <border>
      <left style="thin">
        <color rgb="FFD52B1E"/>
      </left>
      <right/>
      <top style="thin">
        <color rgb="FFD52B1E"/>
      </top>
      <bottom style="medium">
        <color rgb="FFD52B1E"/>
      </bottom>
      <diagonal/>
    </border>
    <border>
      <left/>
      <right/>
      <top style="thin">
        <color rgb="FFD52B1E"/>
      </top>
      <bottom style="medium">
        <color rgb="FFD52B1E"/>
      </bottom>
      <diagonal/>
    </border>
    <border>
      <left/>
      <right style="thin">
        <color rgb="FFD52B1E"/>
      </right>
      <top style="thin">
        <color rgb="FFD52B1E"/>
      </top>
      <bottom style="medium">
        <color rgb="FFD52B1E"/>
      </bottom>
      <diagonal/>
    </border>
    <border>
      <left style="thin">
        <color rgb="FFD52B1E"/>
      </left>
      <right/>
      <top/>
      <bottom style="medium">
        <color rgb="FFD52B1E"/>
      </bottom>
      <diagonal/>
    </border>
    <border>
      <left/>
      <right style="thin">
        <color rgb="FFD52B1E"/>
      </right>
      <top/>
      <bottom style="medium">
        <color rgb="FFD52B1E"/>
      </bottom>
      <diagonal/>
    </border>
    <border>
      <left/>
      <right style="thin">
        <color rgb="FFD52B1E"/>
      </right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ck">
        <color rgb="FFAACCFF"/>
      </left>
      <right/>
      <top style="thick">
        <color rgb="FFAACCFF"/>
      </top>
      <bottom/>
      <diagonal/>
    </border>
    <border>
      <left/>
      <right/>
      <top style="thick">
        <color rgb="FFAACCFF"/>
      </top>
      <bottom/>
      <diagonal/>
    </border>
    <border>
      <left/>
      <right style="thick">
        <color rgb="FFAACCFF"/>
      </right>
      <top style="thick">
        <color rgb="FFAACCFF"/>
      </top>
      <bottom/>
      <diagonal/>
    </border>
    <border>
      <left style="thick">
        <color rgb="FFAACCFF"/>
      </left>
      <right/>
      <top/>
      <bottom/>
      <diagonal/>
    </border>
    <border>
      <left/>
      <right style="thick">
        <color rgb="FFAACCFF"/>
      </right>
      <top/>
      <bottom/>
      <diagonal/>
    </border>
    <border>
      <left/>
      <right style="thick">
        <color rgb="FFAACCFF"/>
      </right>
      <top/>
      <bottom style="medium">
        <color rgb="FF000000"/>
      </bottom>
      <diagonal/>
    </border>
    <border>
      <left style="thick">
        <color rgb="FFAACCFF"/>
      </left>
      <right/>
      <top/>
      <bottom style="thick">
        <color rgb="FFAACCFF"/>
      </bottom>
      <diagonal/>
    </border>
    <border>
      <left/>
      <right/>
      <top/>
      <bottom style="thick">
        <color rgb="FFAACCFF"/>
      </bottom>
      <diagonal/>
    </border>
    <border>
      <left/>
      <right style="thick">
        <color rgb="FFAACCFF"/>
      </right>
      <top/>
      <bottom style="thick">
        <color rgb="FFAACCFF"/>
      </bottom>
      <diagonal/>
    </border>
    <border>
      <left style="thin">
        <color rgb="FFD52B1E"/>
      </left>
      <right/>
      <top style="thin">
        <color rgb="FFD52B1E"/>
      </top>
      <bottom style="double">
        <color rgb="FFD52B1E"/>
      </bottom>
      <diagonal/>
    </border>
    <border>
      <left/>
      <right/>
      <top style="thin">
        <color rgb="FFD52B1E"/>
      </top>
      <bottom style="double">
        <color rgb="FFD52B1E"/>
      </bottom>
      <diagonal/>
    </border>
    <border>
      <left/>
      <right style="thin">
        <color rgb="FFD52B1E"/>
      </right>
      <top style="thin">
        <color rgb="FFD52B1E"/>
      </top>
      <bottom style="double">
        <color rgb="FFD52B1E"/>
      </bottom>
      <diagonal/>
    </border>
    <border>
      <left/>
      <right style="thin">
        <color theme="1"/>
      </right>
      <top/>
      <bottom style="thin">
        <color rgb="FFD52B1E"/>
      </bottom>
      <diagonal/>
    </border>
    <border>
      <left/>
      <right style="thin">
        <color theme="1"/>
      </right>
      <top style="thin">
        <color rgb="FFD52B1E"/>
      </top>
      <bottom style="double">
        <color rgb="FFD52B1E"/>
      </bottom>
      <diagonal/>
    </border>
    <border>
      <left/>
      <right/>
      <top style="thin">
        <color theme="1"/>
      </top>
      <bottom style="thin">
        <color theme="0"/>
      </bottom>
      <diagonal/>
    </border>
    <border>
      <left/>
      <right style="thin">
        <color theme="1"/>
      </right>
      <top style="thin">
        <color theme="1"/>
      </top>
      <bottom style="thin">
        <color theme="0"/>
      </bottom>
      <diagonal/>
    </border>
    <border>
      <left/>
      <right style="thin">
        <color rgb="FFD52B1E"/>
      </right>
      <top style="thin">
        <color theme="1"/>
      </top>
      <bottom style="thin">
        <color theme="0"/>
      </bottom>
      <diagonal/>
    </border>
    <border>
      <left/>
      <right style="thin">
        <color rgb="FFD52B1E"/>
      </right>
      <top style="thin">
        <color theme="0"/>
      </top>
      <bottom/>
      <diagonal/>
    </border>
    <border>
      <left/>
      <right style="thin">
        <color theme="1"/>
      </right>
      <top style="thin">
        <color rgb="FFD52B1E"/>
      </top>
      <bottom/>
      <diagonal/>
    </border>
    <border>
      <left/>
      <right style="thin">
        <color rgb="FFD52B1E"/>
      </right>
      <top style="double">
        <color rgb="FFD52B1E"/>
      </top>
      <bottom/>
      <diagonal/>
    </border>
    <border>
      <left style="thin">
        <color rgb="FFD52B1E"/>
      </left>
      <right/>
      <top/>
      <bottom/>
      <diagonal/>
    </border>
    <border>
      <left style="thin">
        <color rgb="FFD52B1E"/>
      </left>
      <right/>
      <top style="double">
        <color rgb="FFD52B1E"/>
      </top>
      <bottom style="thin">
        <color rgb="FFD52B1E"/>
      </bottom>
      <diagonal/>
    </border>
    <border>
      <left/>
      <right style="thin">
        <color theme="1"/>
      </right>
      <top style="thin">
        <color rgb="FFD52B1E"/>
      </top>
      <bottom style="thin">
        <color rgb="FFD52B1E"/>
      </bottom>
      <diagonal/>
    </border>
    <border>
      <left/>
      <right style="thin">
        <color indexed="64"/>
      </right>
      <top style="thin">
        <color theme="0"/>
      </top>
      <bottom/>
      <diagonal/>
    </border>
    <border>
      <left/>
      <right style="thin">
        <color indexed="64"/>
      </right>
      <top style="thin">
        <color theme="1"/>
      </top>
      <bottom style="thin">
        <color theme="0"/>
      </bottom>
      <diagonal/>
    </border>
    <border>
      <left style="thin">
        <color rgb="FFD52B1E"/>
      </left>
      <right/>
      <top style="thin">
        <color indexed="64"/>
      </top>
      <bottom/>
      <diagonal/>
    </border>
    <border>
      <left style="thin">
        <color rgb="FFD52B1E"/>
      </left>
      <right/>
      <top style="thin">
        <color indexed="64"/>
      </top>
      <bottom style="double">
        <color indexed="64"/>
      </bottom>
      <diagonal/>
    </border>
    <border>
      <left/>
      <right style="thin">
        <color rgb="FFD52B1E"/>
      </right>
      <top style="thin">
        <color indexed="64"/>
      </top>
      <bottom/>
      <diagonal/>
    </border>
    <border>
      <left/>
      <right style="thin">
        <color rgb="FFD52B1E"/>
      </right>
      <top style="thin">
        <color indexed="64"/>
      </top>
      <bottom style="double">
        <color indexed="64"/>
      </bottom>
      <diagonal/>
    </border>
    <border>
      <left/>
      <right style="thin">
        <color rgb="FFD52B1E"/>
      </right>
      <top style="medium">
        <color rgb="FFD52B1E"/>
      </top>
      <bottom/>
      <diagonal/>
    </border>
    <border>
      <left style="thin">
        <color rgb="FFD52B1E"/>
      </left>
      <right/>
      <top style="double">
        <color indexed="64"/>
      </top>
      <bottom style="thin">
        <color rgb="FFD52B1E"/>
      </bottom>
      <diagonal/>
    </border>
    <border>
      <left/>
      <right/>
      <top style="double">
        <color indexed="64"/>
      </top>
      <bottom style="thin">
        <color rgb="FFD52B1E"/>
      </bottom>
      <diagonal/>
    </border>
    <border>
      <left/>
      <right style="thin">
        <color rgb="FFD52B1E"/>
      </right>
      <top style="double">
        <color indexed="64"/>
      </top>
      <bottom style="thin">
        <color rgb="FFD52B1E"/>
      </bottom>
      <diagonal/>
    </border>
    <border>
      <left/>
      <right style="thin">
        <color theme="1"/>
      </right>
      <top style="thin">
        <color theme="0"/>
      </top>
      <bottom/>
      <diagonal/>
    </border>
    <border>
      <left/>
      <right style="thin">
        <color rgb="FFD52B1E"/>
      </right>
      <top/>
      <bottom style="thin">
        <color theme="1"/>
      </bottom>
      <diagonal/>
    </border>
    <border>
      <left/>
      <right style="thin">
        <color theme="1"/>
      </right>
      <top style="thin">
        <color rgb="FFD52B1E"/>
      </top>
      <bottom style="medium">
        <color rgb="FFD52B1E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21" fillId="0" borderId="0"/>
  </cellStyleXfs>
  <cellXfs count="263">
    <xf numFmtId="0" fontId="0" fillId="0" borderId="0" xfId="0"/>
    <xf numFmtId="0" fontId="0" fillId="2" borderId="0" xfId="0" applyFill="1" applyBorder="1"/>
    <xf numFmtId="0" fontId="3" fillId="2" borderId="2" xfId="0" applyFont="1" applyFill="1" applyBorder="1"/>
    <xf numFmtId="0" fontId="0" fillId="2" borderId="3" xfId="0" applyFill="1" applyBorder="1"/>
    <xf numFmtId="0" fontId="3" fillId="2" borderId="5" xfId="0" applyFont="1" applyFill="1" applyBorder="1"/>
    <xf numFmtId="0" fontId="0" fillId="2" borderId="6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3" fillId="2" borderId="12" xfId="0" applyFont="1" applyFill="1" applyBorder="1"/>
    <xf numFmtId="0" fontId="0" fillId="2" borderId="13" xfId="0" applyFill="1" applyBorder="1"/>
    <xf numFmtId="0" fontId="0" fillId="2" borderId="14" xfId="0" applyFill="1" applyBorder="1"/>
    <xf numFmtId="0" fontId="0" fillId="2" borderId="16" xfId="0" applyFill="1" applyBorder="1"/>
    <xf numFmtId="0" fontId="0" fillId="3" borderId="0" xfId="0" applyFill="1" applyBorder="1"/>
    <xf numFmtId="0" fontId="0" fillId="3" borderId="17" xfId="0" applyFill="1" applyBorder="1"/>
    <xf numFmtId="0" fontId="0" fillId="2" borderId="17" xfId="0" applyFill="1" applyBorder="1"/>
    <xf numFmtId="0" fontId="0" fillId="2" borderId="18" xfId="0" applyFill="1" applyBorder="1"/>
    <xf numFmtId="0" fontId="0" fillId="2" borderId="0" xfId="0" applyFill="1" applyProtection="1">
      <protection locked="0"/>
    </xf>
    <xf numFmtId="164" fontId="2" fillId="3" borderId="0" xfId="1" applyNumberFormat="1" applyFont="1" applyFill="1" applyBorder="1" applyAlignment="1" applyProtection="1">
      <alignment horizontal="center"/>
      <protection locked="0"/>
    </xf>
    <xf numFmtId="0" fontId="0" fillId="2" borderId="0" xfId="0" applyFill="1" applyBorder="1" applyProtection="1">
      <protection locked="0"/>
    </xf>
    <xf numFmtId="0" fontId="0" fillId="2" borderId="0" xfId="0" applyFill="1" applyBorder="1" applyAlignment="1" applyProtection="1">
      <alignment horizontal="left" indent="1"/>
      <protection locked="0"/>
    </xf>
    <xf numFmtId="0" fontId="3" fillId="2" borderId="0" xfId="0" applyFont="1" applyFill="1" applyBorder="1" applyAlignment="1" applyProtection="1">
      <alignment horizontal="left" indent="2"/>
      <protection locked="0"/>
    </xf>
    <xf numFmtId="0" fontId="3" fillId="2" borderId="0" xfId="0" applyFont="1" applyFill="1" applyBorder="1" applyProtection="1">
      <protection locked="0"/>
    </xf>
    <xf numFmtId="0" fontId="3" fillId="2" borderId="0" xfId="0" applyFont="1" applyFill="1" applyBorder="1" applyAlignment="1" applyProtection="1">
      <alignment horizontal="left"/>
      <protection locked="0"/>
    </xf>
    <xf numFmtId="0" fontId="10" fillId="6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 wrapText="1"/>
    </xf>
    <xf numFmtId="8" fontId="11" fillId="5" borderId="0" xfId="0" applyNumberFormat="1" applyFont="1" applyFill="1" applyAlignment="1">
      <alignment horizontal="right" vertical="center" indent="2"/>
    </xf>
    <xf numFmtId="4" fontId="11" fillId="7" borderId="0" xfId="0" applyNumberFormat="1" applyFont="1" applyFill="1" applyAlignment="1">
      <alignment horizontal="right" vertical="center" indent="2"/>
    </xf>
    <xf numFmtId="0" fontId="11" fillId="5" borderId="0" xfId="0" applyFont="1" applyFill="1" applyAlignment="1">
      <alignment horizontal="right" vertical="center" indent="2"/>
    </xf>
    <xf numFmtId="4" fontId="11" fillId="7" borderId="22" xfId="0" applyNumberFormat="1" applyFont="1" applyFill="1" applyBorder="1" applyAlignment="1">
      <alignment horizontal="right" vertical="center" indent="2"/>
    </xf>
    <xf numFmtId="0" fontId="11" fillId="5" borderId="0" xfId="0" applyFont="1" applyFill="1" applyAlignment="1">
      <alignment horizontal="left" vertical="center" wrapText="1"/>
    </xf>
    <xf numFmtId="4" fontId="11" fillId="5" borderId="0" xfId="0" applyNumberFormat="1" applyFont="1" applyFill="1" applyAlignment="1">
      <alignment horizontal="right" vertical="center" indent="2"/>
    </xf>
    <xf numFmtId="0" fontId="11" fillId="7" borderId="0" xfId="0" applyFont="1" applyFill="1" applyAlignment="1">
      <alignment horizontal="right" vertical="center" indent="2"/>
    </xf>
    <xf numFmtId="4" fontId="11" fillId="5" borderId="22" xfId="0" applyNumberFormat="1" applyFont="1" applyFill="1" applyBorder="1" applyAlignment="1">
      <alignment horizontal="right" vertical="center" indent="2"/>
    </xf>
    <xf numFmtId="0" fontId="11" fillId="5" borderId="0" xfId="0" applyFont="1" applyFill="1" applyAlignment="1">
      <alignment horizontal="right" vertical="center"/>
    </xf>
    <xf numFmtId="8" fontId="11" fillId="7" borderId="22" xfId="0" applyNumberFormat="1" applyFont="1" applyFill="1" applyBorder="1" applyAlignment="1">
      <alignment horizontal="right" vertical="center" indent="2"/>
    </xf>
    <xf numFmtId="0" fontId="10" fillId="6" borderId="23" xfId="0" applyFont="1" applyFill="1" applyBorder="1" applyAlignment="1">
      <alignment horizontal="center" vertical="center" wrapText="1"/>
    </xf>
    <xf numFmtId="0" fontId="10" fillId="6" borderId="26" xfId="0" applyFont="1" applyFill="1" applyBorder="1" applyAlignment="1">
      <alignment horizontal="center" vertical="center" wrapText="1"/>
    </xf>
    <xf numFmtId="0" fontId="10" fillId="6" borderId="27" xfId="0" applyFont="1" applyFill="1" applyBorder="1" applyAlignment="1">
      <alignment horizontal="center" vertical="center" wrapText="1"/>
    </xf>
    <xf numFmtId="0" fontId="12" fillId="7" borderId="26" xfId="3" applyFill="1" applyBorder="1" applyAlignment="1">
      <alignment horizontal="left" vertical="top" wrapText="1"/>
    </xf>
    <xf numFmtId="0" fontId="11" fillId="7" borderId="27" xfId="0" applyFont="1" applyFill="1" applyBorder="1" applyAlignment="1">
      <alignment horizontal="left" vertical="center" wrapText="1"/>
    </xf>
    <xf numFmtId="0" fontId="12" fillId="5" borderId="26" xfId="3" applyFill="1" applyBorder="1" applyAlignment="1">
      <alignment horizontal="left" vertical="top" wrapText="1"/>
    </xf>
    <xf numFmtId="8" fontId="11" fillId="5" borderId="27" xfId="0" applyNumberFormat="1" applyFont="1" applyFill="1" applyBorder="1" applyAlignment="1">
      <alignment horizontal="right" vertical="center" indent="2"/>
    </xf>
    <xf numFmtId="4" fontId="11" fillId="7" borderId="27" xfId="0" applyNumberFormat="1" applyFont="1" applyFill="1" applyBorder="1" applyAlignment="1">
      <alignment horizontal="right" vertical="center" indent="2"/>
    </xf>
    <xf numFmtId="0" fontId="11" fillId="5" borderId="27" xfId="0" applyFont="1" applyFill="1" applyBorder="1" applyAlignment="1">
      <alignment horizontal="right" vertical="center" indent="2"/>
    </xf>
    <xf numFmtId="4" fontId="11" fillId="7" borderId="28" xfId="0" applyNumberFormat="1" applyFont="1" applyFill="1" applyBorder="1" applyAlignment="1">
      <alignment horizontal="right" vertical="center" indent="2"/>
    </xf>
    <xf numFmtId="0" fontId="11" fillId="5" borderId="27" xfId="0" applyFont="1" applyFill="1" applyBorder="1" applyAlignment="1">
      <alignment horizontal="left" vertical="center" wrapText="1"/>
    </xf>
    <xf numFmtId="4" fontId="11" fillId="5" borderId="27" xfId="0" applyNumberFormat="1" applyFont="1" applyFill="1" applyBorder="1" applyAlignment="1">
      <alignment horizontal="right" vertical="center" indent="2"/>
    </xf>
    <xf numFmtId="0" fontId="11" fillId="7" borderId="27" xfId="0" applyFont="1" applyFill="1" applyBorder="1" applyAlignment="1">
      <alignment horizontal="right" vertical="center" indent="2"/>
    </xf>
    <xf numFmtId="4" fontId="11" fillId="5" borderId="28" xfId="0" applyNumberFormat="1" applyFont="1" applyFill="1" applyBorder="1" applyAlignment="1">
      <alignment horizontal="right" vertical="center" indent="2"/>
    </xf>
    <xf numFmtId="0" fontId="11" fillId="5" borderId="27" xfId="0" applyFont="1" applyFill="1" applyBorder="1" applyAlignment="1">
      <alignment horizontal="right" vertical="center"/>
    </xf>
    <xf numFmtId="8" fontId="11" fillId="7" borderId="28" xfId="0" applyNumberFormat="1" applyFont="1" applyFill="1" applyBorder="1" applyAlignment="1">
      <alignment horizontal="right" vertical="center" indent="2"/>
    </xf>
    <xf numFmtId="0" fontId="12" fillId="5" borderId="29" xfId="3" applyFill="1" applyBorder="1" applyAlignment="1">
      <alignment horizontal="left" vertical="top" wrapText="1"/>
    </xf>
    <xf numFmtId="0" fontId="11" fillId="5" borderId="30" xfId="0" applyFont="1" applyFill="1" applyBorder="1" applyAlignment="1">
      <alignment horizontal="right" vertical="center" indent="2"/>
    </xf>
    <xf numFmtId="0" fontId="11" fillId="5" borderId="31" xfId="0" applyFont="1" applyFill="1" applyBorder="1" applyAlignment="1">
      <alignment horizontal="right" vertical="center" indent="2"/>
    </xf>
    <xf numFmtId="4" fontId="0" fillId="0" borderId="0" xfId="0" applyNumberFormat="1"/>
    <xf numFmtId="0" fontId="10" fillId="6" borderId="24" xfId="0" applyFont="1" applyFill="1" applyBorder="1" applyAlignment="1">
      <alignment vertical="center" wrapText="1"/>
    </xf>
    <xf numFmtId="0" fontId="10" fillId="6" borderId="25" xfId="0" applyFont="1" applyFill="1" applyBorder="1" applyAlignment="1">
      <alignment vertical="center" wrapText="1"/>
    </xf>
    <xf numFmtId="0" fontId="10" fillId="6" borderId="25" xfId="0" applyFont="1" applyFill="1" applyBorder="1" applyAlignment="1">
      <alignment horizontal="centerContinuous" vertical="center" wrapText="1"/>
    </xf>
    <xf numFmtId="0" fontId="10" fillId="6" borderId="24" xfId="0" applyFont="1" applyFill="1" applyBorder="1" applyAlignment="1">
      <alignment horizontal="centerContinuous" vertical="center" wrapText="1"/>
    </xf>
    <xf numFmtId="0" fontId="0" fillId="2" borderId="8" xfId="0" applyFill="1" applyBorder="1" applyAlignment="1" applyProtection="1">
      <alignment horizontal="left" indent="1"/>
      <protection locked="0"/>
    </xf>
    <xf numFmtId="0" fontId="0" fillId="2" borderId="9" xfId="0" applyFill="1" applyBorder="1" applyAlignment="1" applyProtection="1">
      <alignment horizontal="left" indent="1"/>
      <protection locked="0"/>
    </xf>
    <xf numFmtId="4" fontId="3" fillId="2" borderId="0" xfId="0" applyNumberFormat="1" applyFont="1" applyFill="1" applyBorder="1"/>
    <xf numFmtId="4" fontId="3" fillId="2" borderId="18" xfId="0" applyNumberFormat="1" applyFont="1" applyFill="1" applyBorder="1"/>
    <xf numFmtId="0" fontId="3" fillId="2" borderId="32" xfId="0" applyFont="1" applyFill="1" applyBorder="1" applyProtection="1">
      <protection locked="0"/>
    </xf>
    <xf numFmtId="0" fontId="3" fillId="2" borderId="33" xfId="0" applyFont="1" applyFill="1" applyBorder="1" applyProtection="1">
      <protection locked="0"/>
    </xf>
    <xf numFmtId="0" fontId="0" fillId="2" borderId="33" xfId="0" applyFill="1" applyBorder="1"/>
    <xf numFmtId="0" fontId="14" fillId="2" borderId="0" xfId="0" applyFont="1" applyFill="1" applyBorder="1" applyAlignment="1">
      <alignment horizontal="center"/>
    </xf>
    <xf numFmtId="0" fontId="7" fillId="2" borderId="0" xfId="0" applyFont="1" applyFill="1" applyBorder="1" applyAlignment="1" applyProtection="1">
      <alignment horizontal="center"/>
      <protection locked="0"/>
    </xf>
    <xf numFmtId="10" fontId="0" fillId="2" borderId="0" xfId="2" applyNumberFormat="1" applyFont="1" applyFill="1" applyBorder="1"/>
    <xf numFmtId="10" fontId="0" fillId="2" borderId="18" xfId="2" applyNumberFormat="1" applyFont="1" applyFill="1" applyBorder="1"/>
    <xf numFmtId="164" fontId="2" fillId="3" borderId="19" xfId="1" applyNumberFormat="1" applyFont="1" applyFill="1" applyBorder="1" applyAlignment="1" applyProtection="1">
      <alignment horizontal="center"/>
      <protection locked="0"/>
    </xf>
    <xf numFmtId="164" fontId="2" fillId="3" borderId="37" xfId="1" applyNumberFormat="1" applyFont="1" applyFill="1" applyBorder="1" applyAlignment="1" applyProtection="1">
      <alignment horizontal="center"/>
      <protection locked="0"/>
    </xf>
    <xf numFmtId="164" fontId="2" fillId="3" borderId="38" xfId="1" applyNumberFormat="1" applyFont="1" applyFill="1" applyBorder="1" applyAlignment="1" applyProtection="1">
      <alignment horizontal="center"/>
      <protection locked="0"/>
    </xf>
    <xf numFmtId="165" fontId="2" fillId="4" borderId="37" xfId="1" applyNumberFormat="1" applyFont="1" applyFill="1" applyBorder="1" applyAlignment="1" applyProtection="1">
      <alignment horizontal="center"/>
      <protection locked="0"/>
    </xf>
    <xf numFmtId="165" fontId="2" fillId="4" borderId="39" xfId="1" applyNumberFormat="1" applyFont="1" applyFill="1" applyBorder="1" applyAlignment="1" applyProtection="1">
      <alignment horizontal="center"/>
      <protection locked="0"/>
    </xf>
    <xf numFmtId="0" fontId="2" fillId="3" borderId="0" xfId="0" applyFont="1" applyFill="1" applyBorder="1" applyAlignment="1">
      <alignment horizontal="centerContinuous"/>
    </xf>
    <xf numFmtId="0" fontId="0" fillId="3" borderId="0" xfId="0" applyFill="1" applyBorder="1" applyAlignment="1">
      <alignment horizontal="centerContinuous"/>
    </xf>
    <xf numFmtId="0" fontId="0" fillId="3" borderId="17" xfId="0" applyFill="1" applyBorder="1" applyAlignment="1">
      <alignment horizontal="centerContinuous"/>
    </xf>
    <xf numFmtId="2" fontId="0" fillId="2" borderId="9" xfId="0" applyNumberFormat="1" applyFill="1" applyBorder="1"/>
    <xf numFmtId="2" fontId="0" fillId="2" borderId="0" xfId="0" applyNumberFormat="1" applyFill="1" applyBorder="1"/>
    <xf numFmtId="2" fontId="0" fillId="2" borderId="17" xfId="0" applyNumberFormat="1" applyFill="1" applyBorder="1"/>
    <xf numFmtId="2" fontId="3" fillId="2" borderId="0" xfId="0" applyNumberFormat="1" applyFont="1" applyFill="1" applyBorder="1"/>
    <xf numFmtId="2" fontId="3" fillId="2" borderId="40" xfId="0" applyNumberFormat="1" applyFont="1" applyFill="1" applyBorder="1"/>
    <xf numFmtId="2" fontId="3" fillId="2" borderId="17" xfId="0" applyNumberFormat="1" applyFont="1" applyFill="1" applyBorder="1"/>
    <xf numFmtId="10" fontId="0" fillId="2" borderId="17" xfId="2" applyNumberFormat="1" applyFont="1" applyFill="1" applyBorder="1"/>
    <xf numFmtId="0" fontId="0" fillId="2" borderId="9" xfId="0" applyFill="1" applyBorder="1" applyProtection="1">
      <protection locked="0"/>
    </xf>
    <xf numFmtId="10" fontId="0" fillId="2" borderId="9" xfId="2" applyNumberFormat="1" applyFont="1" applyFill="1" applyBorder="1"/>
    <xf numFmtId="10" fontId="0" fillId="2" borderId="35" xfId="2" applyNumberFormat="1" applyFont="1" applyFill="1" applyBorder="1"/>
    <xf numFmtId="0" fontId="0" fillId="2" borderId="43" xfId="0" applyFill="1" applyBorder="1"/>
    <xf numFmtId="0" fontId="0" fillId="2" borderId="5" xfId="0" applyFill="1" applyBorder="1"/>
    <xf numFmtId="0" fontId="0" fillId="3" borderId="43" xfId="0" applyFill="1" applyBorder="1"/>
    <xf numFmtId="0" fontId="3" fillId="2" borderId="43" xfId="0" applyFont="1" applyFill="1" applyBorder="1"/>
    <xf numFmtId="0" fontId="2" fillId="3" borderId="43" xfId="0" applyFont="1" applyFill="1" applyBorder="1"/>
    <xf numFmtId="0" fontId="7" fillId="0" borderId="0" xfId="0" applyFont="1" applyBorder="1" applyAlignment="1" applyProtection="1">
      <alignment horizontal="center" vertical="center"/>
      <protection locked="0"/>
    </xf>
    <xf numFmtId="0" fontId="4" fillId="3" borderId="0" xfId="0" applyFont="1" applyFill="1" applyBorder="1" applyAlignment="1" applyProtection="1">
      <alignment horizontal="center" vertical="center"/>
      <protection locked="0"/>
    </xf>
    <xf numFmtId="0" fontId="5" fillId="0" borderId="43" xfId="0" applyFont="1" applyBorder="1" applyAlignment="1" applyProtection="1">
      <alignment vertical="top"/>
      <protection locked="0"/>
    </xf>
    <xf numFmtId="0" fontId="3" fillId="2" borderId="43" xfId="0" applyFont="1" applyFill="1" applyBorder="1" applyProtection="1">
      <protection locked="0"/>
    </xf>
    <xf numFmtId="0" fontId="0" fillId="2" borderId="43" xfId="0" applyFill="1" applyBorder="1" applyAlignment="1" applyProtection="1">
      <alignment horizontal="left" indent="1"/>
      <protection locked="0"/>
    </xf>
    <xf numFmtId="0" fontId="3" fillId="2" borderId="43" xfId="0" applyFont="1" applyFill="1" applyBorder="1" applyAlignment="1" applyProtection="1">
      <alignment horizontal="left"/>
      <protection locked="0"/>
    </xf>
    <xf numFmtId="0" fontId="0" fillId="2" borderId="0" xfId="0" applyFont="1" applyFill="1" applyBorder="1"/>
    <xf numFmtId="0" fontId="13" fillId="2" borderId="43" xfId="0" applyFont="1" applyFill="1" applyBorder="1" applyAlignment="1" applyProtection="1">
      <alignment horizontal="left" indent="1"/>
      <protection locked="0"/>
    </xf>
    <xf numFmtId="0" fontId="13" fillId="2" borderId="8" xfId="0" applyFont="1" applyFill="1" applyBorder="1" applyAlignment="1" applyProtection="1">
      <alignment horizontal="left" indent="1"/>
      <protection locked="0"/>
    </xf>
    <xf numFmtId="0" fontId="0" fillId="2" borderId="3" xfId="0" applyFill="1" applyBorder="1" applyAlignment="1" applyProtection="1">
      <alignment horizontal="left" indent="1"/>
      <protection locked="0"/>
    </xf>
    <xf numFmtId="10" fontId="1" fillId="2" borderId="0" xfId="2" applyNumberFormat="1" applyFont="1" applyFill="1" applyBorder="1"/>
    <xf numFmtId="0" fontId="11" fillId="7" borderId="0" xfId="0" applyFont="1" applyFill="1" applyAlignment="1">
      <alignment horizontal="right" vertical="center"/>
    </xf>
    <xf numFmtId="4" fontId="11" fillId="7" borderId="0" xfId="0" applyNumberFormat="1" applyFont="1" applyFill="1" applyAlignment="1">
      <alignment horizontal="right" vertical="center"/>
    </xf>
    <xf numFmtId="4" fontId="11" fillId="7" borderId="22" xfId="0" applyNumberFormat="1" applyFont="1" applyFill="1" applyBorder="1" applyAlignment="1">
      <alignment horizontal="right" vertical="center"/>
    </xf>
    <xf numFmtId="4" fontId="11" fillId="5" borderId="0" xfId="0" applyNumberFormat="1" applyFont="1" applyFill="1" applyAlignment="1">
      <alignment horizontal="right" vertical="center"/>
    </xf>
    <xf numFmtId="4" fontId="11" fillId="5" borderId="22" xfId="0" applyNumberFormat="1" applyFont="1" applyFill="1" applyBorder="1" applyAlignment="1">
      <alignment horizontal="right" vertical="center"/>
    </xf>
    <xf numFmtId="0" fontId="11" fillId="5" borderId="22" xfId="0" applyFont="1" applyFill="1" applyBorder="1" applyAlignment="1">
      <alignment horizontal="right" vertical="center"/>
    </xf>
    <xf numFmtId="0" fontId="11" fillId="7" borderId="27" xfId="0" applyFont="1" applyFill="1" applyBorder="1" applyAlignment="1">
      <alignment horizontal="right" vertical="center"/>
    </xf>
    <xf numFmtId="4" fontId="11" fillId="7" borderId="27" xfId="0" applyNumberFormat="1" applyFont="1" applyFill="1" applyBorder="1" applyAlignment="1">
      <alignment horizontal="right" vertical="center"/>
    </xf>
    <xf numFmtId="4" fontId="11" fillId="7" borderId="28" xfId="0" applyNumberFormat="1" applyFont="1" applyFill="1" applyBorder="1" applyAlignment="1">
      <alignment horizontal="right" vertical="center"/>
    </xf>
    <xf numFmtId="4" fontId="11" fillId="5" borderId="27" xfId="0" applyNumberFormat="1" applyFont="1" applyFill="1" applyBorder="1" applyAlignment="1">
      <alignment horizontal="right" vertical="center"/>
    </xf>
    <xf numFmtId="4" fontId="11" fillId="5" borderId="28" xfId="0" applyNumberFormat="1" applyFont="1" applyFill="1" applyBorder="1" applyAlignment="1">
      <alignment horizontal="right" vertical="center"/>
    </xf>
    <xf numFmtId="8" fontId="11" fillId="5" borderId="30" xfId="0" applyNumberFormat="1" applyFont="1" applyFill="1" applyBorder="1" applyAlignment="1">
      <alignment horizontal="right" vertical="center" indent="2"/>
    </xf>
    <xf numFmtId="8" fontId="11" fillId="5" borderId="31" xfId="0" applyNumberFormat="1" applyFont="1" applyFill="1" applyBorder="1" applyAlignment="1">
      <alignment horizontal="right" vertical="center" indent="2"/>
    </xf>
    <xf numFmtId="10" fontId="1" fillId="2" borderId="17" xfId="2" applyNumberFormat="1" applyFont="1" applyFill="1" applyBorder="1"/>
    <xf numFmtId="0" fontId="3" fillId="2" borderId="8" xfId="0" applyFont="1" applyFill="1" applyBorder="1" applyProtection="1">
      <protection locked="0"/>
    </xf>
    <xf numFmtId="164" fontId="2" fillId="3" borderId="18" xfId="1" applyNumberFormat="1" applyFont="1" applyFill="1" applyBorder="1" applyAlignment="1" applyProtection="1">
      <alignment horizontal="center"/>
      <protection locked="0"/>
    </xf>
    <xf numFmtId="165" fontId="2" fillId="4" borderId="0" xfId="1" applyNumberFormat="1" applyFont="1" applyFill="1" applyBorder="1" applyAlignment="1" applyProtection="1">
      <alignment horizontal="center"/>
      <protection locked="0"/>
    </xf>
    <xf numFmtId="165" fontId="2" fillId="4" borderId="17" xfId="1" applyNumberFormat="1" applyFont="1" applyFill="1" applyBorder="1" applyAlignment="1" applyProtection="1">
      <alignment horizontal="center"/>
      <protection locked="0"/>
    </xf>
    <xf numFmtId="0" fontId="0" fillId="2" borderId="17" xfId="0" applyFont="1" applyFill="1" applyBorder="1"/>
    <xf numFmtId="0" fontId="3" fillId="2" borderId="32" xfId="0" applyFont="1" applyFill="1" applyBorder="1"/>
    <xf numFmtId="0" fontId="3" fillId="2" borderId="44" xfId="0" applyFont="1" applyFill="1" applyBorder="1"/>
    <xf numFmtId="0" fontId="0" fillId="2" borderId="33" xfId="0" applyFont="1" applyFill="1" applyBorder="1"/>
    <xf numFmtId="0" fontId="3" fillId="2" borderId="33" xfId="0" applyFont="1" applyFill="1" applyBorder="1"/>
    <xf numFmtId="0" fontId="0" fillId="0" borderId="0" xfId="0" applyFill="1" applyBorder="1"/>
    <xf numFmtId="0" fontId="4" fillId="2" borderId="0" xfId="0" applyFont="1" applyFill="1" applyBorder="1"/>
    <xf numFmtId="0" fontId="4" fillId="2" borderId="6" xfId="0" applyFont="1" applyFill="1" applyBorder="1"/>
    <xf numFmtId="10" fontId="0" fillId="2" borderId="1" xfId="2" applyNumberFormat="1" applyFont="1" applyFill="1" applyBorder="1"/>
    <xf numFmtId="4" fontId="3" fillId="2" borderId="1" xfId="0" applyNumberFormat="1" applyFont="1" applyFill="1" applyBorder="1"/>
    <xf numFmtId="10" fontId="1" fillId="2" borderId="1" xfId="2" applyNumberFormat="1" applyFont="1" applyFill="1" applyBorder="1"/>
    <xf numFmtId="0" fontId="0" fillId="2" borderId="1" xfId="0" applyFill="1" applyBorder="1"/>
    <xf numFmtId="164" fontId="2" fillId="3" borderId="47" xfId="1" applyNumberFormat="1" applyFont="1" applyFill="1" applyBorder="1" applyAlignment="1" applyProtection="1">
      <alignment horizontal="center"/>
      <protection locked="0"/>
    </xf>
    <xf numFmtId="0" fontId="17" fillId="2" borderId="21" xfId="0" applyFont="1" applyFill="1" applyBorder="1" applyAlignment="1" applyProtection="1">
      <alignment vertical="center"/>
      <protection locked="0"/>
    </xf>
    <xf numFmtId="0" fontId="17" fillId="2" borderId="0" xfId="0" applyFont="1" applyFill="1" applyAlignment="1" applyProtection="1">
      <alignment vertical="center"/>
      <protection locked="0"/>
    </xf>
    <xf numFmtId="0" fontId="0" fillId="2" borderId="20" xfId="0" applyFill="1" applyBorder="1" applyProtection="1">
      <protection locked="0"/>
    </xf>
    <xf numFmtId="0" fontId="6" fillId="2" borderId="20" xfId="0" applyFont="1" applyFill="1" applyBorder="1" applyProtection="1">
      <protection locked="0"/>
    </xf>
    <xf numFmtId="166" fontId="0" fillId="2" borderId="0" xfId="1" applyNumberFormat="1" applyFont="1" applyFill="1" applyBorder="1" applyProtection="1">
      <protection locked="0"/>
    </xf>
    <xf numFmtId="0" fontId="0" fillId="2" borderId="43" xfId="0" applyFill="1" applyBorder="1" applyProtection="1">
      <protection locked="0"/>
    </xf>
    <xf numFmtId="0" fontId="17" fillId="2" borderId="49" xfId="0" applyFont="1" applyFill="1" applyBorder="1" applyAlignment="1" applyProtection="1">
      <alignment vertical="center"/>
      <protection locked="0"/>
    </xf>
    <xf numFmtId="0" fontId="17" fillId="2" borderId="17" xfId="0" applyFont="1" applyFill="1" applyBorder="1" applyAlignment="1" applyProtection="1">
      <alignment vertical="center"/>
      <protection locked="0"/>
    </xf>
    <xf numFmtId="0" fontId="0" fillId="2" borderId="17" xfId="0" applyFill="1" applyBorder="1" applyProtection="1">
      <protection locked="0"/>
    </xf>
    <xf numFmtId="10" fontId="0" fillId="0" borderId="17" xfId="2" applyNumberFormat="1" applyFont="1" applyBorder="1"/>
    <xf numFmtId="2" fontId="8" fillId="2" borderId="17" xfId="0" applyNumberFormat="1" applyFont="1" applyFill="1" applyBorder="1" applyAlignment="1" applyProtection="1">
      <alignment horizontal="right"/>
      <protection locked="0"/>
    </xf>
    <xf numFmtId="10" fontId="8" fillId="2" borderId="17" xfId="0" applyNumberFormat="1" applyFont="1" applyFill="1" applyBorder="1" applyProtection="1">
      <protection locked="0"/>
    </xf>
    <xf numFmtId="10" fontId="1" fillId="2" borderId="50" xfId="1" applyNumberFormat="1" applyFont="1" applyFill="1" applyBorder="1" applyProtection="1">
      <protection locked="0"/>
    </xf>
    <xf numFmtId="10" fontId="0" fillId="2" borderId="17" xfId="2" applyNumberFormat="1" applyFont="1" applyFill="1" applyBorder="1" applyProtection="1">
      <protection locked="0"/>
    </xf>
    <xf numFmtId="9" fontId="1" fillId="2" borderId="17" xfId="2" applyFont="1" applyFill="1" applyBorder="1" applyProtection="1">
      <protection locked="0"/>
    </xf>
    <xf numFmtId="10" fontId="1" fillId="2" borderId="51" xfId="1" applyNumberFormat="1" applyFont="1" applyFill="1" applyBorder="1" applyProtection="1">
      <protection locked="0"/>
    </xf>
    <xf numFmtId="0" fontId="2" fillId="3" borderId="43" xfId="0" applyFont="1" applyFill="1" applyBorder="1" applyAlignment="1">
      <alignment horizontal="centerContinuous"/>
    </xf>
    <xf numFmtId="9" fontId="8" fillId="2" borderId="17" xfId="2" applyFont="1" applyFill="1" applyBorder="1" applyProtection="1">
      <protection locked="0"/>
    </xf>
    <xf numFmtId="0" fontId="23" fillId="2" borderId="0" xfId="4" applyFont="1" applyFill="1" applyBorder="1" applyAlignment="1" applyProtection="1">
      <alignment horizontal="left"/>
      <protection locked="0"/>
    </xf>
    <xf numFmtId="0" fontId="24" fillId="8" borderId="43" xfId="0" applyFont="1" applyFill="1" applyBorder="1" applyAlignment="1" applyProtection="1">
      <alignment horizontal="centerContinuous"/>
      <protection locked="0"/>
    </xf>
    <xf numFmtId="0" fontId="0" fillId="8" borderId="0" xfId="0" applyFill="1" applyBorder="1" applyAlignment="1" applyProtection="1">
      <alignment horizontal="centerContinuous"/>
      <protection locked="0"/>
    </xf>
    <xf numFmtId="0" fontId="22" fillId="2" borderId="43" xfId="4" applyFont="1" applyFill="1" applyBorder="1" applyAlignment="1" applyProtection="1">
      <alignment horizontal="left"/>
      <protection locked="0"/>
    </xf>
    <xf numFmtId="0" fontId="0" fillId="8" borderId="17" xfId="0" applyFill="1" applyBorder="1" applyAlignment="1" applyProtection="1">
      <alignment horizontal="centerContinuous"/>
      <protection locked="0"/>
    </xf>
    <xf numFmtId="0" fontId="0" fillId="2" borderId="52" xfId="0" applyFill="1" applyBorder="1"/>
    <xf numFmtId="0" fontId="20" fillId="2" borderId="53" xfId="0" applyFont="1" applyFill="1" applyBorder="1" applyProtection="1">
      <protection locked="0"/>
    </xf>
    <xf numFmtId="0" fontId="0" fillId="2" borderId="54" xfId="0" applyFill="1" applyBorder="1" applyProtection="1">
      <protection locked="0"/>
    </xf>
    <xf numFmtId="0" fontId="0" fillId="2" borderId="55" xfId="0" applyFill="1" applyBorder="1" applyProtection="1">
      <protection locked="0"/>
    </xf>
    <xf numFmtId="0" fontId="3" fillId="2" borderId="15" xfId="0" applyFont="1" applyFill="1" applyBorder="1"/>
    <xf numFmtId="10" fontId="0" fillId="2" borderId="13" xfId="2" applyNumberFormat="1" applyFont="1" applyFill="1" applyBorder="1"/>
    <xf numFmtId="0" fontId="0" fillId="3" borderId="1" xfId="0" applyFill="1" applyBorder="1"/>
    <xf numFmtId="0" fontId="5" fillId="2" borderId="43" xfId="0" applyFont="1" applyFill="1" applyBorder="1" applyAlignment="1" applyProtection="1">
      <alignment vertical="top"/>
      <protection locked="0"/>
    </xf>
    <xf numFmtId="0" fontId="0" fillId="0" borderId="0" xfId="0" applyBorder="1"/>
    <xf numFmtId="10" fontId="0" fillId="0" borderId="0" xfId="2" applyNumberFormat="1" applyFont="1" applyFill="1" applyBorder="1"/>
    <xf numFmtId="2" fontId="0" fillId="0" borderId="0" xfId="0" applyNumberFormat="1" applyFill="1" applyBorder="1"/>
    <xf numFmtId="0" fontId="0" fillId="0" borderId="0" xfId="0" applyFont="1" applyFill="1" applyBorder="1"/>
    <xf numFmtId="0" fontId="3" fillId="0" borderId="0" xfId="0" applyFont="1" applyFill="1" applyBorder="1"/>
    <xf numFmtId="0" fontId="15" fillId="2" borderId="8" xfId="0" applyFont="1" applyFill="1" applyBorder="1"/>
    <xf numFmtId="2" fontId="0" fillId="2" borderId="10" xfId="0" applyNumberFormat="1" applyFill="1" applyBorder="1"/>
    <xf numFmtId="2" fontId="0" fillId="2" borderId="42" xfId="0" applyNumberFormat="1" applyFill="1" applyBorder="1"/>
    <xf numFmtId="0" fontId="0" fillId="0" borderId="0" xfId="0" applyFill="1"/>
    <xf numFmtId="0" fontId="0" fillId="0" borderId="17" xfId="0" applyFill="1" applyBorder="1"/>
    <xf numFmtId="41" fontId="3" fillId="2" borderId="0" xfId="0" applyNumberFormat="1" applyFont="1" applyFill="1" applyBorder="1"/>
    <xf numFmtId="41" fontId="3" fillId="2" borderId="18" xfId="0" applyNumberFormat="1" applyFont="1" applyFill="1" applyBorder="1"/>
    <xf numFmtId="41" fontId="0" fillId="2" borderId="9" xfId="0" applyNumberFormat="1" applyFill="1" applyBorder="1"/>
    <xf numFmtId="41" fontId="0" fillId="2" borderId="0" xfId="0" applyNumberFormat="1" applyFill="1" applyBorder="1"/>
    <xf numFmtId="41" fontId="3" fillId="2" borderId="33" xfId="0" applyNumberFormat="1" applyFont="1" applyFill="1" applyBorder="1"/>
    <xf numFmtId="41" fontId="3" fillId="2" borderId="40" xfId="0" applyNumberFormat="1" applyFont="1" applyFill="1" applyBorder="1"/>
    <xf numFmtId="41" fontId="0" fillId="2" borderId="10" xfId="0" applyNumberFormat="1" applyFill="1" applyBorder="1"/>
    <xf numFmtId="41" fontId="0" fillId="2" borderId="17" xfId="0" applyNumberFormat="1" applyFill="1" applyBorder="1"/>
    <xf numFmtId="41" fontId="0" fillId="2" borderId="9" xfId="0" applyNumberFormat="1" applyFill="1" applyBorder="1" applyAlignment="1">
      <alignment horizontal="center"/>
    </xf>
    <xf numFmtId="41" fontId="0" fillId="2" borderId="10" xfId="0" applyNumberFormat="1" applyFill="1" applyBorder="1" applyAlignment="1">
      <alignment horizontal="center"/>
    </xf>
    <xf numFmtId="41" fontId="3" fillId="2" borderId="17" xfId="0" applyNumberFormat="1" applyFont="1" applyFill="1" applyBorder="1"/>
    <xf numFmtId="41" fontId="0" fillId="2" borderId="35" xfId="0" applyNumberFormat="1" applyFill="1" applyBorder="1"/>
    <xf numFmtId="168" fontId="2" fillId="3" borderId="37" xfId="1" applyNumberFormat="1" applyFont="1" applyFill="1" applyBorder="1" applyAlignment="1" applyProtection="1">
      <alignment horizontal="center"/>
      <protection locked="0"/>
    </xf>
    <xf numFmtId="168" fontId="2" fillId="3" borderId="38" xfId="1" applyNumberFormat="1" applyFont="1" applyFill="1" applyBorder="1" applyAlignment="1" applyProtection="1">
      <alignment horizontal="center"/>
      <protection locked="0"/>
    </xf>
    <xf numFmtId="169" fontId="2" fillId="4" borderId="37" xfId="1" applyNumberFormat="1" applyFont="1" applyFill="1" applyBorder="1" applyAlignment="1" applyProtection="1">
      <alignment horizontal="center"/>
      <protection locked="0"/>
    </xf>
    <xf numFmtId="169" fontId="2" fillId="4" borderId="39" xfId="1" applyNumberFormat="1" applyFont="1" applyFill="1" applyBorder="1" applyAlignment="1" applyProtection="1">
      <alignment horizontal="center"/>
      <protection locked="0"/>
    </xf>
    <xf numFmtId="41" fontId="3" fillId="2" borderId="34" xfId="0" applyNumberFormat="1" applyFont="1" applyFill="1" applyBorder="1"/>
    <xf numFmtId="41" fontId="0" fillId="2" borderId="18" xfId="0" applyNumberFormat="1" applyFill="1" applyBorder="1"/>
    <xf numFmtId="41" fontId="3" fillId="2" borderId="36" xfId="0" applyNumberFormat="1" applyFont="1" applyFill="1" applyBorder="1"/>
    <xf numFmtId="170" fontId="0" fillId="2" borderId="0" xfId="0" applyNumberFormat="1" applyFill="1" applyBorder="1"/>
    <xf numFmtId="170" fontId="0" fillId="2" borderId="0" xfId="2" applyNumberFormat="1" applyFont="1" applyFill="1" applyBorder="1"/>
    <xf numFmtId="170" fontId="0" fillId="2" borderId="18" xfId="2" applyNumberFormat="1" applyFont="1" applyFill="1" applyBorder="1"/>
    <xf numFmtId="170" fontId="0" fillId="2" borderId="17" xfId="2" applyNumberFormat="1" applyFont="1" applyFill="1" applyBorder="1"/>
    <xf numFmtId="170" fontId="0" fillId="2" borderId="9" xfId="2" applyNumberFormat="1" applyFont="1" applyFill="1" applyBorder="1"/>
    <xf numFmtId="170" fontId="0" fillId="2" borderId="35" xfId="2" applyNumberFormat="1" applyFont="1" applyFill="1" applyBorder="1"/>
    <xf numFmtId="170" fontId="0" fillId="2" borderId="10" xfId="2" applyNumberFormat="1" applyFont="1" applyFill="1" applyBorder="1"/>
    <xf numFmtId="0" fontId="3" fillId="3" borderId="0" xfId="0" applyFont="1" applyFill="1" applyBorder="1" applyAlignment="1">
      <alignment horizontal="centerContinuous"/>
    </xf>
    <xf numFmtId="42" fontId="2" fillId="3" borderId="0" xfId="1" applyNumberFormat="1" applyFont="1" applyFill="1" applyBorder="1" applyAlignment="1" applyProtection="1">
      <alignment horizontal="center"/>
      <protection locked="0"/>
    </xf>
    <xf numFmtId="42" fontId="2" fillId="3" borderId="56" xfId="1" applyNumberFormat="1" applyFont="1" applyFill="1" applyBorder="1" applyAlignment="1" applyProtection="1">
      <alignment horizontal="center"/>
      <protection locked="0"/>
    </xf>
    <xf numFmtId="42" fontId="2" fillId="4" borderId="0" xfId="1" applyNumberFormat="1" applyFont="1" applyFill="1" applyBorder="1" applyAlignment="1" applyProtection="1">
      <alignment horizontal="center"/>
      <protection locked="0"/>
    </xf>
    <xf numFmtId="42" fontId="2" fillId="4" borderId="17" xfId="1" applyNumberFormat="1" applyFont="1" applyFill="1" applyBorder="1" applyAlignment="1" applyProtection="1">
      <alignment horizontal="center"/>
      <protection locked="0"/>
    </xf>
    <xf numFmtId="41" fontId="0" fillId="2" borderId="0" xfId="0" applyNumberFormat="1" applyFont="1" applyFill="1" applyBorder="1"/>
    <xf numFmtId="41" fontId="0" fillId="2" borderId="17" xfId="0" applyNumberFormat="1" applyFont="1" applyFill="1" applyBorder="1"/>
    <xf numFmtId="41" fontId="3" fillId="2" borderId="6" xfId="0" applyNumberFormat="1" applyFont="1" applyFill="1" applyBorder="1"/>
    <xf numFmtId="41" fontId="3" fillId="2" borderId="41" xfId="0" applyNumberFormat="1" applyFont="1" applyFill="1" applyBorder="1"/>
    <xf numFmtId="41" fontId="3" fillId="2" borderId="7" xfId="0" applyNumberFormat="1" applyFont="1" applyFill="1" applyBorder="1"/>
    <xf numFmtId="41" fontId="3" fillId="2" borderId="3" xfId="0" applyNumberFormat="1" applyFont="1" applyFill="1" applyBorder="1"/>
    <xf numFmtId="41" fontId="3" fillId="2" borderId="45" xfId="0" applyNumberFormat="1" applyFont="1" applyFill="1" applyBorder="1"/>
    <xf numFmtId="41" fontId="3" fillId="2" borderId="4" xfId="0" applyNumberFormat="1" applyFont="1" applyFill="1" applyBorder="1"/>
    <xf numFmtId="0" fontId="0" fillId="2" borderId="43" xfId="0" applyFill="1" applyBorder="1" applyAlignment="1">
      <alignment horizontal="left" indent="1"/>
    </xf>
    <xf numFmtId="0" fontId="0" fillId="2" borderId="43" xfId="0" applyFont="1" applyFill="1" applyBorder="1" applyAlignment="1">
      <alignment horizontal="left" indent="1"/>
    </xf>
    <xf numFmtId="41" fontId="0" fillId="0" borderId="0" xfId="0" applyNumberFormat="1"/>
    <xf numFmtId="41" fontId="3" fillId="2" borderId="46" xfId="0" applyNumberFormat="1" applyFont="1" applyFill="1" applyBorder="1"/>
    <xf numFmtId="0" fontId="16" fillId="2" borderId="43" xfId="0" applyFont="1" applyFill="1" applyBorder="1" applyAlignment="1" applyProtection="1">
      <alignment horizontal="left"/>
      <protection locked="0"/>
    </xf>
    <xf numFmtId="0" fontId="0" fillId="2" borderId="43" xfId="0" applyFill="1" applyBorder="1" applyAlignment="1" applyProtection="1">
      <alignment horizontal="left"/>
      <protection locked="0"/>
    </xf>
    <xf numFmtId="0" fontId="3" fillId="2" borderId="2" xfId="0" applyFont="1" applyFill="1" applyBorder="1" applyAlignment="1" applyProtection="1">
      <alignment horizontal="left"/>
      <protection locked="0"/>
    </xf>
    <xf numFmtId="0" fontId="2" fillId="3" borderId="43" xfId="0" applyFont="1" applyFill="1" applyBorder="1" applyAlignment="1">
      <alignment horizontal="left"/>
    </xf>
    <xf numFmtId="0" fontId="13" fillId="2" borderId="43" xfId="0" applyFont="1" applyFill="1" applyBorder="1" applyAlignment="1" applyProtection="1">
      <alignment horizontal="left"/>
      <protection locked="0"/>
    </xf>
    <xf numFmtId="0" fontId="16" fillId="2" borderId="8" xfId="0" applyFont="1" applyFill="1" applyBorder="1" applyAlignment="1" applyProtection="1">
      <alignment horizontal="left"/>
      <protection locked="0"/>
    </xf>
    <xf numFmtId="0" fontId="16" fillId="2" borderId="12" xfId="0" applyFont="1" applyFill="1" applyBorder="1" applyAlignment="1" applyProtection="1">
      <alignment horizontal="left"/>
      <protection locked="0"/>
    </xf>
    <xf numFmtId="0" fontId="0" fillId="2" borderId="43" xfId="0" applyFont="1" applyFill="1" applyBorder="1" applyAlignment="1" applyProtection="1">
      <alignment horizontal="left" indent="1"/>
      <protection locked="0"/>
    </xf>
    <xf numFmtId="171" fontId="0" fillId="2" borderId="9" xfId="2" applyNumberFormat="1" applyFont="1" applyFill="1" applyBorder="1"/>
    <xf numFmtId="0" fontId="3" fillId="2" borderId="0" xfId="0" applyFont="1" applyFill="1" applyBorder="1"/>
    <xf numFmtId="41" fontId="0" fillId="2" borderId="18" xfId="0" applyNumberFormat="1" applyFont="1" applyFill="1" applyBorder="1"/>
    <xf numFmtId="41" fontId="0" fillId="2" borderId="42" xfId="0" applyNumberFormat="1" applyFont="1" applyFill="1" applyBorder="1"/>
    <xf numFmtId="41" fontId="0" fillId="2" borderId="9" xfId="0" applyNumberFormat="1" applyFont="1" applyFill="1" applyBorder="1"/>
    <xf numFmtId="41" fontId="0" fillId="2" borderId="35" xfId="0" applyNumberFormat="1" applyFont="1" applyFill="1" applyBorder="1"/>
    <xf numFmtId="41" fontId="0" fillId="2" borderId="10" xfId="0" applyNumberFormat="1" applyFont="1" applyFill="1" applyBorder="1"/>
    <xf numFmtId="0" fontId="0" fillId="3" borderId="57" xfId="0" applyFill="1" applyBorder="1" applyAlignment="1">
      <alignment horizontal="centerContinuous"/>
    </xf>
    <xf numFmtId="172" fontId="0" fillId="2" borderId="0" xfId="0" applyNumberFormat="1" applyFill="1" applyBorder="1"/>
    <xf numFmtId="171" fontId="0" fillId="2" borderId="10" xfId="2" applyNumberFormat="1" applyFont="1" applyFill="1" applyBorder="1"/>
    <xf numFmtId="41" fontId="3" fillId="2" borderId="11" xfId="0" applyNumberFormat="1" applyFont="1" applyFill="1" applyBorder="1"/>
    <xf numFmtId="41" fontId="3" fillId="2" borderId="16" xfId="0" applyNumberFormat="1" applyFont="1" applyFill="1" applyBorder="1"/>
    <xf numFmtId="10" fontId="0" fillId="2" borderId="58" xfId="2" applyNumberFormat="1" applyFont="1" applyFill="1" applyBorder="1"/>
    <xf numFmtId="0" fontId="0" fillId="2" borderId="0" xfId="0" applyFont="1" applyFill="1" applyBorder="1" applyProtection="1">
      <protection locked="0"/>
    </xf>
    <xf numFmtId="0" fontId="19" fillId="2" borderId="43" xfId="4" applyFont="1" applyFill="1" applyBorder="1" applyAlignment="1" applyProtection="1">
      <alignment horizontal="left" indent="1"/>
      <protection locked="0"/>
    </xf>
    <xf numFmtId="0" fontId="6" fillId="2" borderId="43" xfId="4" applyFont="1" applyFill="1" applyBorder="1" applyAlignment="1" applyProtection="1">
      <alignment horizontal="left"/>
      <protection locked="0"/>
    </xf>
    <xf numFmtId="0" fontId="3" fillId="2" borderId="48" xfId="0" applyFont="1" applyFill="1" applyBorder="1" applyAlignment="1" applyProtection="1">
      <alignment horizontal="left"/>
      <protection locked="0"/>
    </xf>
    <xf numFmtId="0" fontId="3" fillId="2" borderId="20" xfId="0" applyFont="1" applyFill="1" applyBorder="1" applyProtection="1">
      <protection locked="0"/>
    </xf>
    <xf numFmtId="166" fontId="3" fillId="2" borderId="20" xfId="1" applyNumberFormat="1" applyFont="1" applyFill="1" applyBorder="1" applyProtection="1">
      <protection locked="0"/>
    </xf>
    <xf numFmtId="167" fontId="3" fillId="2" borderId="50" xfId="2" applyNumberFormat="1" applyFont="1" applyFill="1" applyBorder="1" applyProtection="1">
      <protection locked="0"/>
    </xf>
    <xf numFmtId="0" fontId="6" fillId="2" borderId="43" xfId="0" applyFont="1" applyFill="1" applyBorder="1" applyProtection="1">
      <protection locked="0"/>
    </xf>
    <xf numFmtId="0" fontId="6" fillId="2" borderId="43" xfId="0" applyFont="1" applyFill="1" applyBorder="1" applyAlignment="1" applyProtection="1">
      <alignment vertical="center"/>
      <protection locked="0"/>
    </xf>
    <xf numFmtId="0" fontId="6" fillId="2" borderId="48" xfId="0" applyFont="1" applyFill="1" applyBorder="1" applyAlignment="1" applyProtection="1">
      <alignment horizontal="left"/>
      <protection locked="0"/>
    </xf>
    <xf numFmtId="0" fontId="23" fillId="2" borderId="43" xfId="4" applyFont="1" applyFill="1" applyBorder="1" applyAlignment="1" applyProtection="1">
      <alignment horizontal="left" indent="1"/>
      <protection locked="0"/>
    </xf>
    <xf numFmtId="41" fontId="0" fillId="2" borderId="17" xfId="0" applyNumberFormat="1" applyFill="1" applyBorder="1" applyProtection="1">
      <protection locked="0"/>
    </xf>
    <xf numFmtId="41" fontId="0" fillId="2" borderId="17" xfId="0" applyNumberFormat="1" applyFont="1" applyFill="1" applyBorder="1" applyProtection="1">
      <protection locked="0"/>
    </xf>
    <xf numFmtId="41" fontId="1" fillId="2" borderId="17" xfId="1" applyNumberFormat="1" applyFont="1" applyFill="1" applyBorder="1" applyProtection="1">
      <protection locked="0"/>
    </xf>
    <xf numFmtId="41" fontId="3" fillId="2" borderId="17" xfId="1" applyNumberFormat="1" applyFont="1" applyFill="1" applyBorder="1" applyProtection="1">
      <protection locked="0"/>
    </xf>
    <xf numFmtId="41" fontId="8" fillId="2" borderId="17" xfId="1" applyNumberFormat="1" applyFont="1" applyFill="1" applyBorder="1" applyProtection="1">
      <protection locked="0"/>
    </xf>
    <xf numFmtId="41" fontId="8" fillId="2" borderId="17" xfId="0" applyNumberFormat="1" applyFont="1" applyFill="1" applyBorder="1" applyProtection="1">
      <protection locked="0"/>
    </xf>
    <xf numFmtId="0" fontId="10" fillId="6" borderId="24" xfId="0" applyFont="1" applyFill="1" applyBorder="1" applyAlignment="1">
      <alignment horizontal="center" vertical="center" wrapText="1"/>
    </xf>
    <xf numFmtId="0" fontId="10" fillId="6" borderId="0" xfId="0" applyFont="1" applyFill="1" applyBorder="1" applyAlignment="1">
      <alignment horizontal="center" vertical="center" wrapText="1"/>
    </xf>
    <xf numFmtId="0" fontId="10" fillId="6" borderId="25" xfId="0" applyFont="1" applyFill="1" applyBorder="1" applyAlignment="1">
      <alignment horizontal="center" vertical="center" wrapText="1"/>
    </xf>
    <xf numFmtId="0" fontId="10" fillId="6" borderId="27" xfId="0" applyFont="1" applyFill="1" applyBorder="1" applyAlignment="1">
      <alignment horizontal="center" vertical="center" wrapText="1"/>
    </xf>
  </cellXfs>
  <cellStyles count="5">
    <cellStyle name="Comma" xfId="1" builtinId="3"/>
    <cellStyle name="Hyperlink" xfId="3" builtinId="8"/>
    <cellStyle name="Normal" xfId="0" builtinId="0"/>
    <cellStyle name="Normal 2" xfId="4" xr:uid="{6269D64E-69DF-4365-B23F-3D819E1B457F}"/>
    <cellStyle name="Percent" xfId="2" builtinId="5"/>
  </cellStyles>
  <dxfs count="2">
    <dxf>
      <font>
        <color theme="2"/>
      </font>
      <fill>
        <patternFill>
          <bgColor theme="3"/>
        </patternFill>
      </fill>
    </dxf>
    <dxf>
      <font>
        <color theme="2"/>
      </font>
      <fill>
        <patternFill>
          <bgColor theme="3"/>
        </patternFill>
      </fill>
    </dxf>
  </dxfs>
  <tableStyles count="0" defaultTableStyle="TableStyleMedium2" defaultPivotStyle="PivotStyleLight16"/>
  <colors>
    <mruColors>
      <color rgb="FFD52B1E"/>
      <color rgb="FFFDC82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57417</xdr:colOff>
      <xdr:row>0</xdr:row>
      <xdr:rowOff>0</xdr:rowOff>
    </xdr:from>
    <xdr:to>
      <xdr:col>1</xdr:col>
      <xdr:colOff>562957</xdr:colOff>
      <xdr:row>2</xdr:row>
      <xdr:rowOff>268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064ABA3-BFF4-44EE-B7A0-E5E0BE030E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5191" y="0"/>
          <a:ext cx="505540" cy="3719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57417</xdr:colOff>
      <xdr:row>0</xdr:row>
      <xdr:rowOff>0</xdr:rowOff>
    </xdr:from>
    <xdr:to>
      <xdr:col>1</xdr:col>
      <xdr:colOff>562957</xdr:colOff>
      <xdr:row>2</xdr:row>
      <xdr:rowOff>268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97D669-C634-4F41-8D3D-00208CA74E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767" y="0"/>
          <a:ext cx="505540" cy="38126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57417</xdr:colOff>
      <xdr:row>0</xdr:row>
      <xdr:rowOff>0</xdr:rowOff>
    </xdr:from>
    <xdr:to>
      <xdr:col>1</xdr:col>
      <xdr:colOff>562957</xdr:colOff>
      <xdr:row>2</xdr:row>
      <xdr:rowOff>268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902917-57F6-463D-B143-71E5B4F8C9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20617" y="0"/>
          <a:ext cx="505540" cy="38126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42706</xdr:colOff>
      <xdr:row>0</xdr:row>
      <xdr:rowOff>0</xdr:rowOff>
    </xdr:from>
    <xdr:ext cx="509501" cy="391037"/>
    <xdr:pic>
      <xdr:nvPicPr>
        <xdr:cNvPr id="3" name="Picture 2">
          <a:extLst>
            <a:ext uri="{FF2B5EF4-FFF2-40B4-BE49-F238E27FC236}">
              <a16:creationId xmlns:a16="http://schemas.microsoft.com/office/drawing/2014/main" id="{CE2E04A2-40B5-4C1F-8364-97527D8BA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15181" y="0"/>
          <a:ext cx="509501" cy="391037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06EA3-83B0-4D7A-A254-05B0B8AFABED}">
  <dimension ref="A1:H113"/>
  <sheetViews>
    <sheetView workbookViewId="0"/>
  </sheetViews>
  <sheetFormatPr defaultRowHeight="15" x14ac:dyDescent="0.25"/>
  <cols>
    <col min="1" max="1" width="57.85546875" bestFit="1" customWidth="1"/>
    <col min="2" max="4" width="11.85546875" bestFit="1" customWidth="1"/>
  </cols>
  <sheetData>
    <row r="1" spans="1:8" ht="15" customHeight="1" thickTop="1" x14ac:dyDescent="0.25">
      <c r="A1" s="37" t="s">
        <v>14</v>
      </c>
      <c r="B1" s="59" t="s">
        <v>16</v>
      </c>
      <c r="C1" s="60"/>
      <c r="D1" s="60"/>
    </row>
    <row r="2" spans="1:8" ht="15" customHeight="1" x14ac:dyDescent="0.25">
      <c r="A2" s="38" t="s">
        <v>15</v>
      </c>
      <c r="B2" s="39" t="s">
        <v>19</v>
      </c>
      <c r="C2" s="25" t="s">
        <v>18</v>
      </c>
      <c r="D2" s="25" t="s">
        <v>17</v>
      </c>
    </row>
    <row r="3" spans="1:8" ht="15" customHeight="1" x14ac:dyDescent="0.25">
      <c r="A3" s="40" t="s">
        <v>20</v>
      </c>
      <c r="B3" s="41"/>
      <c r="C3" s="26"/>
      <c r="D3" s="26"/>
    </row>
    <row r="4" spans="1:8" ht="15" customHeight="1" x14ac:dyDescent="0.25">
      <c r="A4" s="42" t="s">
        <v>21</v>
      </c>
      <c r="B4" s="43">
        <v>15437</v>
      </c>
      <c r="C4" s="27">
        <v>15715</v>
      </c>
      <c r="D4" s="27">
        <v>16548</v>
      </c>
    </row>
    <row r="5" spans="1:8" ht="15" customHeight="1" x14ac:dyDescent="0.25">
      <c r="A5" s="40" t="s">
        <v>22</v>
      </c>
      <c r="B5" s="44">
        <v>9742</v>
      </c>
      <c r="C5" s="28">
        <v>9782</v>
      </c>
      <c r="D5" s="28">
        <v>9690</v>
      </c>
    </row>
    <row r="6" spans="1:8" ht="15" customHeight="1" x14ac:dyDescent="0.25">
      <c r="A6" s="42" t="s">
        <v>23</v>
      </c>
      <c r="B6" s="45">
        <v>316</v>
      </c>
      <c r="C6" s="29">
        <v>423</v>
      </c>
      <c r="D6" s="29">
        <v>647</v>
      </c>
    </row>
    <row r="7" spans="1:8" ht="15" customHeight="1" thickBot="1" x14ac:dyDescent="0.3">
      <c r="A7" s="40" t="s">
        <v>24</v>
      </c>
      <c r="B7" s="46">
        <v>25494</v>
      </c>
      <c r="C7" s="30">
        <v>25920</v>
      </c>
      <c r="D7" s="30">
        <v>26885</v>
      </c>
    </row>
    <row r="8" spans="1:8" ht="15" customHeight="1" x14ac:dyDescent="0.25">
      <c r="A8" s="42" t="s">
        <v>25</v>
      </c>
      <c r="B8" s="47"/>
      <c r="C8" s="31"/>
      <c r="D8" s="31"/>
    </row>
    <row r="9" spans="1:8" ht="15" customHeight="1" x14ac:dyDescent="0.25">
      <c r="A9" s="40" t="s">
        <v>26</v>
      </c>
      <c r="B9" s="44">
        <v>2475</v>
      </c>
      <c r="C9" s="28">
        <v>2536</v>
      </c>
      <c r="D9" s="28">
        <v>2618</v>
      </c>
      <c r="H9" s="56"/>
    </row>
    <row r="10" spans="1:8" ht="15" customHeight="1" x14ac:dyDescent="0.25">
      <c r="A10" s="42" t="s">
        <v>27</v>
      </c>
      <c r="B10" s="48">
        <v>3039</v>
      </c>
      <c r="C10" s="32">
        <v>2995</v>
      </c>
      <c r="D10" s="32">
        <v>3006</v>
      </c>
    </row>
    <row r="11" spans="1:8" ht="15" customHeight="1" x14ac:dyDescent="0.25">
      <c r="A11" s="40" t="s">
        <v>28</v>
      </c>
      <c r="B11" s="44">
        <v>2886</v>
      </c>
      <c r="C11" s="28">
        <v>2959</v>
      </c>
      <c r="D11" s="28">
        <v>2905</v>
      </c>
    </row>
    <row r="12" spans="1:8" ht="15" customHeight="1" x14ac:dyDescent="0.25">
      <c r="A12" s="42" t="s">
        <v>29</v>
      </c>
      <c r="B12" s="48">
        <v>2299</v>
      </c>
      <c r="C12" s="32">
        <v>2381</v>
      </c>
      <c r="D12" s="32">
        <v>2358</v>
      </c>
    </row>
    <row r="13" spans="1:8" ht="15" customHeight="1" x14ac:dyDescent="0.25">
      <c r="A13" s="40" t="s">
        <v>30</v>
      </c>
      <c r="B13" s="49">
        <v>232</v>
      </c>
      <c r="C13" s="33">
        <v>339</v>
      </c>
      <c r="D13" s="33">
        <v>564</v>
      </c>
    </row>
    <row r="14" spans="1:8" ht="15" customHeight="1" x14ac:dyDescent="0.25">
      <c r="A14" s="42" t="s">
        <v>31</v>
      </c>
      <c r="B14" s="45">
        <v>382</v>
      </c>
      <c r="C14" s="29">
        <v>447</v>
      </c>
      <c r="D14" s="29">
        <v>457</v>
      </c>
    </row>
    <row r="15" spans="1:8" ht="15" customHeight="1" x14ac:dyDescent="0.25">
      <c r="A15" s="40" t="s">
        <v>32</v>
      </c>
      <c r="B15" s="44">
        <v>2435</v>
      </c>
      <c r="C15" s="28">
        <v>2412</v>
      </c>
      <c r="D15" s="28">
        <v>2583</v>
      </c>
    </row>
    <row r="16" spans="1:8" ht="15" customHeight="1" x14ac:dyDescent="0.25">
      <c r="A16" s="42" t="s">
        <v>33</v>
      </c>
      <c r="B16" s="45">
        <v>99</v>
      </c>
      <c r="C16" s="29">
        <v>139</v>
      </c>
      <c r="D16" s="29">
        <v>2</v>
      </c>
    </row>
    <row r="17" spans="1:4" ht="15" customHeight="1" thickBot="1" x14ac:dyDescent="0.3">
      <c r="A17" s="40" t="s">
        <v>34</v>
      </c>
      <c r="B17" s="46">
        <v>13847</v>
      </c>
      <c r="C17" s="30">
        <v>14208</v>
      </c>
      <c r="D17" s="30">
        <v>14492</v>
      </c>
    </row>
    <row r="18" spans="1:4" ht="15" customHeight="1" thickBot="1" x14ac:dyDescent="0.3">
      <c r="A18" s="42" t="s">
        <v>35</v>
      </c>
      <c r="B18" s="50">
        <v>11647</v>
      </c>
      <c r="C18" s="34">
        <v>11712</v>
      </c>
      <c r="D18" s="34">
        <v>12393</v>
      </c>
    </row>
    <row r="19" spans="1:4" ht="15" customHeight="1" x14ac:dyDescent="0.25">
      <c r="A19" s="40" t="s">
        <v>36</v>
      </c>
      <c r="B19" s="44">
        <v>1361</v>
      </c>
      <c r="C19" s="28">
        <v>1506</v>
      </c>
      <c r="D19" s="28">
        <v>1582</v>
      </c>
    </row>
    <row r="20" spans="1:4" ht="15" customHeight="1" x14ac:dyDescent="0.25">
      <c r="A20" s="42" t="s">
        <v>37</v>
      </c>
      <c r="B20" s="51">
        <v>-236</v>
      </c>
      <c r="C20" s="35">
        <v>-139</v>
      </c>
      <c r="D20" s="35">
        <v>-87</v>
      </c>
    </row>
    <row r="21" spans="1:4" ht="15" customHeight="1" thickBot="1" x14ac:dyDescent="0.3">
      <c r="A21" s="40" t="s">
        <v>38</v>
      </c>
      <c r="B21" s="46">
        <v>10522</v>
      </c>
      <c r="C21" s="30">
        <v>10345</v>
      </c>
      <c r="D21" s="30">
        <v>10897</v>
      </c>
    </row>
    <row r="22" spans="1:4" ht="15" customHeight="1" x14ac:dyDescent="0.25">
      <c r="A22" s="42" t="s">
        <v>39</v>
      </c>
      <c r="B22" s="48">
        <v>2053</v>
      </c>
      <c r="C22" s="32">
        <v>2121</v>
      </c>
      <c r="D22" s="32">
        <v>2334</v>
      </c>
    </row>
    <row r="23" spans="1:4" ht="15" customHeight="1" thickBot="1" x14ac:dyDescent="0.3">
      <c r="A23" s="40" t="s">
        <v>40</v>
      </c>
      <c r="B23" s="52">
        <v>8469</v>
      </c>
      <c r="C23" s="36">
        <v>8223</v>
      </c>
      <c r="D23" s="36">
        <v>8563</v>
      </c>
    </row>
    <row r="24" spans="1:4" ht="15" customHeight="1" x14ac:dyDescent="0.25">
      <c r="A24" s="42" t="s">
        <v>41</v>
      </c>
      <c r="B24" s="43">
        <v>11.63</v>
      </c>
      <c r="C24" s="27">
        <v>11.45</v>
      </c>
      <c r="D24" s="27">
        <v>12</v>
      </c>
    </row>
    <row r="25" spans="1:4" ht="15" customHeight="1" x14ac:dyDescent="0.25">
      <c r="A25" s="40" t="s">
        <v>42</v>
      </c>
      <c r="B25" s="49">
        <v>11.56</v>
      </c>
      <c r="C25" s="33">
        <v>11.39</v>
      </c>
      <c r="D25" s="33">
        <v>11.95</v>
      </c>
    </row>
    <row r="26" spans="1:4" ht="15" customHeight="1" x14ac:dyDescent="0.25">
      <c r="A26" s="42" t="s">
        <v>43</v>
      </c>
      <c r="B26" s="43">
        <v>6.23</v>
      </c>
      <c r="C26" s="27">
        <v>6.78</v>
      </c>
      <c r="D26" s="27">
        <v>7.17</v>
      </c>
    </row>
    <row r="27" spans="1:4" ht="15" customHeight="1" x14ac:dyDescent="0.25">
      <c r="A27" s="40" t="s">
        <v>44</v>
      </c>
      <c r="B27" s="49">
        <v>727.9</v>
      </c>
      <c r="C27" s="33">
        <v>718.3</v>
      </c>
      <c r="D27" s="33">
        <v>713.4</v>
      </c>
    </row>
    <row r="28" spans="1:4" ht="15" customHeight="1" thickBot="1" x14ac:dyDescent="0.3">
      <c r="A28" s="53" t="s">
        <v>45</v>
      </c>
      <c r="B28" s="55">
        <v>732.3</v>
      </c>
      <c r="C28" s="54">
        <v>721.9</v>
      </c>
      <c r="D28" s="54">
        <v>716.4</v>
      </c>
    </row>
    <row r="29" spans="1:4" ht="15" customHeight="1" thickTop="1" thickBot="1" x14ac:dyDescent="0.3"/>
    <row r="30" spans="1:4" ht="15" customHeight="1" thickTop="1" x14ac:dyDescent="0.25">
      <c r="A30" s="37" t="s">
        <v>67</v>
      </c>
      <c r="B30" s="58"/>
      <c r="C30" s="57"/>
      <c r="D30" s="57" t="s">
        <v>16</v>
      </c>
    </row>
    <row r="31" spans="1:4" ht="15" customHeight="1" x14ac:dyDescent="0.25">
      <c r="A31" s="38" t="s">
        <v>15</v>
      </c>
      <c r="B31" s="39" t="s">
        <v>19</v>
      </c>
      <c r="C31" s="25" t="s">
        <v>18</v>
      </c>
      <c r="D31" s="25" t="s">
        <v>17</v>
      </c>
    </row>
    <row r="32" spans="1:4" ht="15" customHeight="1" x14ac:dyDescent="0.25">
      <c r="A32" s="40" t="s">
        <v>68</v>
      </c>
      <c r="B32" s="41"/>
      <c r="C32" s="26"/>
      <c r="D32" s="26"/>
    </row>
    <row r="33" spans="1:4" ht="15" customHeight="1" x14ac:dyDescent="0.25">
      <c r="A33" s="42" t="s">
        <v>40</v>
      </c>
      <c r="B33" s="43">
        <v>8469</v>
      </c>
      <c r="C33" s="27">
        <v>8223</v>
      </c>
      <c r="D33" s="27">
        <v>8563</v>
      </c>
    </row>
    <row r="34" spans="1:4" ht="15" customHeight="1" x14ac:dyDescent="0.25">
      <c r="A34" s="40" t="s">
        <v>69</v>
      </c>
      <c r="B34" s="41"/>
      <c r="C34" s="26"/>
      <c r="D34" s="26"/>
    </row>
    <row r="35" spans="1:4" ht="15" customHeight="1" x14ac:dyDescent="0.25">
      <c r="A35" s="42" t="s">
        <v>31</v>
      </c>
      <c r="B35" s="48">
        <v>1978</v>
      </c>
      <c r="C35" s="32">
        <v>2097</v>
      </c>
      <c r="D35" s="32">
        <v>2199</v>
      </c>
    </row>
    <row r="36" spans="1:4" ht="15" customHeight="1" x14ac:dyDescent="0.25">
      <c r="A36" s="40" t="s">
        <v>70</v>
      </c>
      <c r="B36" s="112">
        <v>-686</v>
      </c>
      <c r="C36" s="106">
        <v>-574</v>
      </c>
      <c r="D36" s="106">
        <v>-126</v>
      </c>
    </row>
    <row r="37" spans="1:4" ht="15" customHeight="1" x14ac:dyDescent="0.25">
      <c r="A37" s="42" t="s">
        <v>71</v>
      </c>
      <c r="B37" s="45">
        <v>175</v>
      </c>
      <c r="C37" s="29">
        <v>172</v>
      </c>
      <c r="D37" s="29">
        <v>165</v>
      </c>
    </row>
    <row r="38" spans="1:4" ht="15" customHeight="1" x14ac:dyDescent="0.25">
      <c r="A38" s="40" t="s">
        <v>72</v>
      </c>
      <c r="B38" s="112">
        <v>-103</v>
      </c>
      <c r="C38" s="106">
        <v>-37</v>
      </c>
      <c r="D38" s="106">
        <v>-149</v>
      </c>
    </row>
    <row r="39" spans="1:4" ht="15" customHeight="1" x14ac:dyDescent="0.25">
      <c r="A39" s="42" t="s">
        <v>32</v>
      </c>
      <c r="B39" s="51">
        <v>-113</v>
      </c>
      <c r="C39" s="29">
        <v>3</v>
      </c>
      <c r="D39" s="35">
        <v>-207</v>
      </c>
    </row>
    <row r="40" spans="1:4" ht="15" customHeight="1" x14ac:dyDescent="0.25">
      <c r="A40" s="40" t="s">
        <v>73</v>
      </c>
      <c r="B40" s="41"/>
      <c r="C40" s="26"/>
      <c r="D40" s="26"/>
    </row>
    <row r="41" spans="1:4" ht="15" customHeight="1" x14ac:dyDescent="0.25">
      <c r="A41" s="42" t="s">
        <v>74</v>
      </c>
      <c r="B41" s="51">
        <v>-161</v>
      </c>
      <c r="C41" s="29">
        <v>10</v>
      </c>
      <c r="D41" s="29">
        <v>231</v>
      </c>
    </row>
    <row r="42" spans="1:4" ht="15" customHeight="1" x14ac:dyDescent="0.25">
      <c r="A42" s="40" t="s">
        <v>75</v>
      </c>
      <c r="B42" s="49">
        <v>17</v>
      </c>
      <c r="C42" s="33">
        <v>71</v>
      </c>
      <c r="D42" s="106">
        <v>-140</v>
      </c>
    </row>
    <row r="43" spans="1:4" ht="15" customHeight="1" x14ac:dyDescent="0.25">
      <c r="A43" s="42" t="s">
        <v>76</v>
      </c>
      <c r="B43" s="45">
        <v>50</v>
      </c>
      <c r="C43" s="35">
        <v>-10</v>
      </c>
      <c r="D43" s="29">
        <v>100</v>
      </c>
    </row>
    <row r="44" spans="1:4" ht="15" customHeight="1" x14ac:dyDescent="0.25">
      <c r="A44" s="40" t="s">
        <v>77</v>
      </c>
      <c r="B44" s="112">
        <v>-220</v>
      </c>
      <c r="C44" s="106">
        <v>-292</v>
      </c>
      <c r="D44" s="106">
        <v>-239</v>
      </c>
    </row>
    <row r="45" spans="1:4" ht="15" customHeight="1" x14ac:dyDescent="0.25">
      <c r="A45" s="42" t="s">
        <v>78</v>
      </c>
      <c r="B45" s="45">
        <v>206</v>
      </c>
      <c r="C45" s="35">
        <v>-217</v>
      </c>
      <c r="D45" s="29">
        <v>154</v>
      </c>
    </row>
    <row r="46" spans="1:4" ht="15" customHeight="1" thickBot="1" x14ac:dyDescent="0.3">
      <c r="A46" s="40" t="s">
        <v>79</v>
      </c>
      <c r="B46" s="46">
        <v>9612</v>
      </c>
      <c r="C46" s="30">
        <v>9447</v>
      </c>
      <c r="D46" s="30">
        <v>10551</v>
      </c>
    </row>
    <row r="47" spans="1:4" ht="15" customHeight="1" x14ac:dyDescent="0.25">
      <c r="A47" s="42" t="s">
        <v>80</v>
      </c>
      <c r="B47" s="47"/>
      <c r="C47" s="31"/>
      <c r="D47" s="31"/>
    </row>
    <row r="48" spans="1:4" ht="15" customHeight="1" x14ac:dyDescent="0.25">
      <c r="A48" s="40" t="s">
        <v>81</v>
      </c>
      <c r="B48" s="113">
        <v>-2357</v>
      </c>
      <c r="C48" s="107">
        <v>-2775</v>
      </c>
      <c r="D48" s="107">
        <v>-3365</v>
      </c>
    </row>
    <row r="49" spans="1:4" ht="15" customHeight="1" x14ac:dyDescent="0.25">
      <c r="A49" s="42" t="s">
        <v>82</v>
      </c>
      <c r="B49" s="51">
        <v>-441</v>
      </c>
      <c r="C49" s="35">
        <v>-669</v>
      </c>
      <c r="D49" s="35">
        <v>-354</v>
      </c>
    </row>
    <row r="50" spans="1:4" ht="15" customHeight="1" x14ac:dyDescent="0.25">
      <c r="A50" s="40" t="s">
        <v>83</v>
      </c>
      <c r="B50" s="49">
        <v>0</v>
      </c>
      <c r="C50" s="28">
        <v>-1837</v>
      </c>
      <c r="D50" s="33">
        <v>0</v>
      </c>
    </row>
    <row r="51" spans="1:4" ht="15" customHeight="1" x14ac:dyDescent="0.25">
      <c r="A51" s="42" t="s">
        <v>84</v>
      </c>
      <c r="B51" s="45">
        <v>195</v>
      </c>
      <c r="C51" s="29">
        <v>311</v>
      </c>
      <c r="D51" s="29">
        <v>346</v>
      </c>
    </row>
    <row r="52" spans="1:4" ht="15" customHeight="1" x14ac:dyDescent="0.25">
      <c r="A52" s="40" t="s">
        <v>85</v>
      </c>
      <c r="B52" s="49">
        <v>95</v>
      </c>
      <c r="C52" s="33">
        <v>122</v>
      </c>
      <c r="D52" s="33">
        <v>130</v>
      </c>
    </row>
    <row r="53" spans="1:4" ht="15" customHeight="1" x14ac:dyDescent="0.25">
      <c r="A53" s="42" t="s">
        <v>32</v>
      </c>
      <c r="B53" s="51">
        <v>-676</v>
      </c>
      <c r="C53" s="35">
        <v>-498</v>
      </c>
      <c r="D53" s="35">
        <v>-579</v>
      </c>
    </row>
    <row r="54" spans="1:4" ht="15" customHeight="1" thickBot="1" x14ac:dyDescent="0.3">
      <c r="A54" s="40" t="s">
        <v>86</v>
      </c>
      <c r="B54" s="114">
        <v>-3185</v>
      </c>
      <c r="C54" s="108">
        <v>-5346</v>
      </c>
      <c r="D54" s="108">
        <v>-3822</v>
      </c>
    </row>
    <row r="55" spans="1:4" ht="15" customHeight="1" x14ac:dyDescent="0.25">
      <c r="A55" s="42" t="s">
        <v>87</v>
      </c>
      <c r="B55" s="47"/>
      <c r="C55" s="31"/>
      <c r="D55" s="31"/>
    </row>
    <row r="56" spans="1:4" ht="15" customHeight="1" x14ac:dyDescent="0.25">
      <c r="A56" s="40" t="s">
        <v>88</v>
      </c>
      <c r="B56" s="49">
        <v>213</v>
      </c>
      <c r="C56" s="33">
        <v>326</v>
      </c>
      <c r="D56" s="33">
        <v>6</v>
      </c>
    </row>
    <row r="57" spans="1:4" ht="15" customHeight="1" x14ac:dyDescent="0.25">
      <c r="A57" s="42" t="s">
        <v>89</v>
      </c>
      <c r="B57" s="48">
        <v>5221</v>
      </c>
      <c r="C57" s="32">
        <v>2380</v>
      </c>
      <c r="D57" s="32">
        <v>4724</v>
      </c>
    </row>
    <row r="58" spans="1:4" ht="15" customHeight="1" x14ac:dyDescent="0.25">
      <c r="A58" s="40" t="s">
        <v>90</v>
      </c>
      <c r="B58" s="113">
        <v>-2441</v>
      </c>
      <c r="C58" s="107">
        <v>-2777</v>
      </c>
      <c r="D58" s="107">
        <v>-4802</v>
      </c>
    </row>
    <row r="59" spans="1:4" ht="15" customHeight="1" x14ac:dyDescent="0.25">
      <c r="A59" s="42" t="s">
        <v>91</v>
      </c>
      <c r="B59" s="115">
        <v>-3054</v>
      </c>
      <c r="C59" s="109">
        <v>-2824</v>
      </c>
      <c r="D59" s="109">
        <v>-2056</v>
      </c>
    </row>
    <row r="60" spans="1:4" ht="15" customHeight="1" x14ac:dyDescent="0.25">
      <c r="A60" s="40" t="s">
        <v>92</v>
      </c>
      <c r="B60" s="113">
        <v>-4533</v>
      </c>
      <c r="C60" s="107">
        <v>-4870</v>
      </c>
      <c r="D60" s="107">
        <v>-5115</v>
      </c>
    </row>
    <row r="61" spans="1:4" ht="15" customHeight="1" x14ac:dyDescent="0.25">
      <c r="A61" s="42" t="s">
        <v>93</v>
      </c>
      <c r="B61" s="45">
        <v>260</v>
      </c>
      <c r="C61" s="29">
        <v>328</v>
      </c>
      <c r="D61" s="29">
        <v>285</v>
      </c>
    </row>
    <row r="62" spans="1:4" ht="15" customHeight="1" x14ac:dyDescent="0.25">
      <c r="A62" s="40" t="s">
        <v>32</v>
      </c>
      <c r="B62" s="112">
        <v>-40</v>
      </c>
      <c r="C62" s="106">
        <v>-56</v>
      </c>
      <c r="D62" s="106">
        <v>-167</v>
      </c>
    </row>
    <row r="63" spans="1:4" ht="15" customHeight="1" thickBot="1" x14ac:dyDescent="0.3">
      <c r="A63" s="42" t="s">
        <v>94</v>
      </c>
      <c r="B63" s="116">
        <v>-4374</v>
      </c>
      <c r="C63" s="110">
        <v>-7495</v>
      </c>
      <c r="D63" s="110">
        <v>-7125</v>
      </c>
    </row>
    <row r="64" spans="1:4" ht="15" customHeight="1" x14ac:dyDescent="0.25">
      <c r="A64" s="40" t="s">
        <v>95</v>
      </c>
      <c r="B64" s="112">
        <v>-58</v>
      </c>
      <c r="C64" s="106">
        <v>-101</v>
      </c>
      <c r="D64" s="33">
        <v>86</v>
      </c>
    </row>
    <row r="65" spans="1:4" ht="15" customHeight="1" thickBot="1" x14ac:dyDescent="0.3">
      <c r="A65" s="42" t="s">
        <v>96</v>
      </c>
      <c r="B65" s="50">
        <v>1996</v>
      </c>
      <c r="C65" s="110">
        <v>-3494</v>
      </c>
      <c r="D65" s="111">
        <v>-311</v>
      </c>
    </row>
    <row r="66" spans="1:4" ht="15" customHeight="1" x14ac:dyDescent="0.25">
      <c r="A66" s="40" t="s">
        <v>97</v>
      </c>
      <c r="B66" s="44">
        <v>2584</v>
      </c>
      <c r="C66" s="28">
        <v>4579</v>
      </c>
      <c r="D66" s="28">
        <v>1085</v>
      </c>
    </row>
    <row r="67" spans="1:4" ht="15" customHeight="1" x14ac:dyDescent="0.25">
      <c r="A67" s="42" t="s">
        <v>98</v>
      </c>
      <c r="B67" s="48">
        <v>4579</v>
      </c>
      <c r="C67" s="32">
        <v>1085</v>
      </c>
      <c r="D67" s="29">
        <v>774</v>
      </c>
    </row>
    <row r="68" spans="1:4" ht="15" customHeight="1" x14ac:dyDescent="0.25">
      <c r="A68" s="40" t="s">
        <v>99</v>
      </c>
      <c r="B68" s="41"/>
      <c r="C68" s="26"/>
      <c r="D68" s="26"/>
    </row>
    <row r="69" spans="1:4" ht="15" customHeight="1" thickBot="1" x14ac:dyDescent="0.3">
      <c r="A69" s="53" t="s">
        <v>100</v>
      </c>
      <c r="B69" s="118">
        <v>1287</v>
      </c>
      <c r="C69" s="117">
        <v>1523</v>
      </c>
      <c r="D69" s="117">
        <v>1555</v>
      </c>
    </row>
    <row r="70" spans="1:4" ht="15" customHeight="1" thickTop="1" thickBot="1" x14ac:dyDescent="0.3"/>
    <row r="71" spans="1:4" ht="15" customHeight="1" thickTop="1" x14ac:dyDescent="0.25">
      <c r="A71" s="37" t="s">
        <v>111</v>
      </c>
      <c r="C71" s="261" t="s">
        <v>18</v>
      </c>
      <c r="D71" s="259" t="s">
        <v>17</v>
      </c>
    </row>
    <row r="72" spans="1:4" ht="15" customHeight="1" x14ac:dyDescent="0.25">
      <c r="A72" s="38" t="s">
        <v>15</v>
      </c>
      <c r="C72" s="262"/>
      <c r="D72" s="260"/>
    </row>
    <row r="73" spans="1:4" ht="15" customHeight="1" x14ac:dyDescent="0.25">
      <c r="A73" s="40" t="s">
        <v>112</v>
      </c>
      <c r="C73" s="41"/>
      <c r="D73" s="26"/>
    </row>
    <row r="74" spans="1:4" ht="15" customHeight="1" x14ac:dyDescent="0.25">
      <c r="A74" s="42" t="s">
        <v>113</v>
      </c>
      <c r="C74" s="43">
        <v>1085</v>
      </c>
      <c r="D74" s="27">
        <v>774</v>
      </c>
    </row>
    <row r="75" spans="1:4" ht="15" customHeight="1" x14ac:dyDescent="0.25">
      <c r="A75" s="40" t="s">
        <v>114</v>
      </c>
      <c r="C75" s="44">
        <v>2383</v>
      </c>
      <c r="D75" s="28">
        <v>2466</v>
      </c>
    </row>
    <row r="76" spans="1:4" ht="15" customHeight="1" x14ac:dyDescent="0.25">
      <c r="A76" s="42" t="s">
        <v>115</v>
      </c>
      <c r="C76" s="45">
        <v>56</v>
      </c>
      <c r="D76" s="29">
        <v>61</v>
      </c>
    </row>
    <row r="77" spans="1:4" ht="15" customHeight="1" x14ac:dyDescent="0.25">
      <c r="A77" s="40" t="s">
        <v>116</v>
      </c>
      <c r="C77" s="44">
        <v>1074</v>
      </c>
      <c r="D77" s="33">
        <v>863</v>
      </c>
    </row>
    <row r="78" spans="1:4" ht="15" customHeight="1" thickBot="1" x14ac:dyDescent="0.3">
      <c r="A78" s="42" t="s">
        <v>117</v>
      </c>
      <c r="C78" s="50">
        <v>4599</v>
      </c>
      <c r="D78" s="34">
        <v>4163</v>
      </c>
    </row>
    <row r="79" spans="1:4" ht="15" customHeight="1" x14ac:dyDescent="0.25">
      <c r="A79" s="40" t="s">
        <v>118</v>
      </c>
      <c r="C79" s="41"/>
      <c r="D79" s="26"/>
    </row>
    <row r="80" spans="1:4" ht="15" customHeight="1" x14ac:dyDescent="0.25">
      <c r="A80" s="42" t="s">
        <v>119</v>
      </c>
      <c r="C80" s="48">
        <v>2710</v>
      </c>
      <c r="D80" s="32">
        <v>2820</v>
      </c>
    </row>
    <row r="81" spans="1:4" x14ac:dyDescent="0.25">
      <c r="A81" s="40" t="s">
        <v>120</v>
      </c>
      <c r="C81" s="44">
        <v>3145</v>
      </c>
      <c r="D81" s="28">
        <v>3354</v>
      </c>
    </row>
    <row r="82" spans="1:4" x14ac:dyDescent="0.25">
      <c r="A82" s="42" t="s">
        <v>121</v>
      </c>
      <c r="C82" s="48">
        <v>6095</v>
      </c>
      <c r="D82" s="32">
        <v>6331</v>
      </c>
    </row>
    <row r="83" spans="1:4" ht="15.75" thickBot="1" x14ac:dyDescent="0.3">
      <c r="A83" s="40" t="s">
        <v>122</v>
      </c>
      <c r="C83" s="46">
        <v>11950</v>
      </c>
      <c r="D83" s="30">
        <v>12505</v>
      </c>
    </row>
    <row r="84" spans="1:4" x14ac:dyDescent="0.25">
      <c r="A84" s="42" t="s">
        <v>123</v>
      </c>
      <c r="C84" s="48">
        <v>13339</v>
      </c>
      <c r="D84" s="32">
        <v>14606</v>
      </c>
    </row>
    <row r="85" spans="1:4" x14ac:dyDescent="0.25">
      <c r="A85" s="40" t="s">
        <v>124</v>
      </c>
      <c r="C85" s="41"/>
      <c r="D85" s="26"/>
    </row>
    <row r="86" spans="1:4" x14ac:dyDescent="0.25">
      <c r="A86" s="42" t="s">
        <v>125</v>
      </c>
      <c r="C86" s="48">
        <v>44177</v>
      </c>
      <c r="D86" s="32">
        <v>49290</v>
      </c>
    </row>
    <row r="87" spans="1:4" x14ac:dyDescent="0.25">
      <c r="A87" s="40" t="s">
        <v>126</v>
      </c>
      <c r="C87" s="113">
        <v>-18882</v>
      </c>
      <c r="D87" s="107">
        <v>-21049</v>
      </c>
    </row>
    <row r="88" spans="1:4" ht="15.75" thickBot="1" x14ac:dyDescent="0.3">
      <c r="A88" s="42" t="s">
        <v>127</v>
      </c>
      <c r="C88" s="50">
        <v>25295</v>
      </c>
      <c r="D88" s="34">
        <v>28241</v>
      </c>
    </row>
    <row r="89" spans="1:4" ht="15.75" thickBot="1" x14ac:dyDescent="0.3">
      <c r="A89" s="40" t="s">
        <v>128</v>
      </c>
      <c r="C89" s="46">
        <v>55182</v>
      </c>
      <c r="D89" s="30">
        <v>59515</v>
      </c>
    </row>
    <row r="90" spans="1:4" x14ac:dyDescent="0.25">
      <c r="A90" s="42" t="s">
        <v>129</v>
      </c>
      <c r="C90" s="47"/>
      <c r="D90" s="31"/>
    </row>
    <row r="91" spans="1:4" x14ac:dyDescent="0.25">
      <c r="A91" s="40" t="s">
        <v>76</v>
      </c>
      <c r="C91" s="44">
        <v>1029</v>
      </c>
      <c r="D91" s="28">
        <v>1149</v>
      </c>
    </row>
    <row r="92" spans="1:4" x14ac:dyDescent="0.25">
      <c r="A92" s="42" t="s">
        <v>130</v>
      </c>
      <c r="C92" s="45">
        <v>636</v>
      </c>
      <c r="D92" s="29">
        <v>694</v>
      </c>
    </row>
    <row r="93" spans="1:4" x14ac:dyDescent="0.25">
      <c r="A93" s="40" t="s">
        <v>77</v>
      </c>
      <c r="C93" s="49">
        <v>361</v>
      </c>
      <c r="D93" s="33">
        <v>250</v>
      </c>
    </row>
    <row r="94" spans="1:4" x14ac:dyDescent="0.25">
      <c r="A94" s="42" t="s">
        <v>131</v>
      </c>
      <c r="C94" s="45">
        <v>224</v>
      </c>
      <c r="D94" s="29">
        <v>247</v>
      </c>
    </row>
    <row r="95" spans="1:4" x14ac:dyDescent="0.25">
      <c r="A95" s="40" t="s">
        <v>132</v>
      </c>
      <c r="C95" s="49">
        <v>482</v>
      </c>
      <c r="D95" s="33">
        <v>533</v>
      </c>
    </row>
    <row r="96" spans="1:4" x14ac:dyDescent="0.25">
      <c r="A96" s="42" t="s">
        <v>133</v>
      </c>
      <c r="C96" s="48">
        <v>1129</v>
      </c>
      <c r="D96" s="32">
        <v>1488</v>
      </c>
    </row>
    <row r="97" spans="1:4" ht="15.75" thickBot="1" x14ac:dyDescent="0.3">
      <c r="A97" s="40" t="s">
        <v>134</v>
      </c>
      <c r="C97" s="46">
        <v>3861</v>
      </c>
      <c r="D97" s="30">
        <v>4361</v>
      </c>
    </row>
    <row r="98" spans="1:4" x14ac:dyDescent="0.25">
      <c r="A98" s="42" t="s">
        <v>135</v>
      </c>
      <c r="C98" s="48">
        <v>38424</v>
      </c>
      <c r="D98" s="32">
        <v>39973</v>
      </c>
    </row>
    <row r="99" spans="1:4" x14ac:dyDescent="0.25">
      <c r="A99" s="40" t="s">
        <v>136</v>
      </c>
      <c r="C99" s="44">
        <v>12888</v>
      </c>
      <c r="D99" s="28">
        <v>14147</v>
      </c>
    </row>
    <row r="100" spans="1:4" x14ac:dyDescent="0.25">
      <c r="A100" s="42" t="s">
        <v>137</v>
      </c>
      <c r="C100" s="45">
        <v>344</v>
      </c>
      <c r="D100" s="29">
        <v>139</v>
      </c>
    </row>
    <row r="101" spans="1:4" x14ac:dyDescent="0.25">
      <c r="A101" s="40" t="s">
        <v>138</v>
      </c>
      <c r="C101" s="49">
        <v>778</v>
      </c>
      <c r="D101" s="33">
        <v>945</v>
      </c>
    </row>
    <row r="102" spans="1:4" x14ac:dyDescent="0.25">
      <c r="A102" s="42" t="s">
        <v>139</v>
      </c>
      <c r="C102" s="45">
        <v>771</v>
      </c>
      <c r="D102" s="29">
        <v>704</v>
      </c>
    </row>
    <row r="103" spans="1:4" x14ac:dyDescent="0.25">
      <c r="A103" s="40" t="s">
        <v>70</v>
      </c>
      <c r="C103" s="44">
        <v>1914</v>
      </c>
      <c r="D103" s="28">
        <v>1038</v>
      </c>
    </row>
    <row r="104" spans="1:4" x14ac:dyDescent="0.25">
      <c r="A104" s="42" t="s">
        <v>140</v>
      </c>
      <c r="C104" s="47"/>
      <c r="D104" s="31"/>
    </row>
    <row r="105" spans="1:4" ht="30" x14ac:dyDescent="0.25">
      <c r="A105" s="40" t="s">
        <v>141</v>
      </c>
      <c r="C105" s="49">
        <v>0</v>
      </c>
      <c r="D105" s="33">
        <v>0</v>
      </c>
    </row>
    <row r="106" spans="1:4" ht="30" x14ac:dyDescent="0.25">
      <c r="A106" s="42" t="s">
        <v>142</v>
      </c>
      <c r="C106" s="45">
        <v>17</v>
      </c>
      <c r="D106" s="29">
        <v>17</v>
      </c>
    </row>
    <row r="107" spans="1:4" x14ac:dyDescent="0.25">
      <c r="A107" s="40" t="s">
        <v>143</v>
      </c>
      <c r="C107" s="44">
        <v>9281</v>
      </c>
      <c r="D107" s="28">
        <v>9641</v>
      </c>
    </row>
    <row r="108" spans="1:4" x14ac:dyDescent="0.25">
      <c r="A108" s="42" t="s">
        <v>144</v>
      </c>
      <c r="C108" s="48">
        <v>66834</v>
      </c>
      <c r="D108" s="32">
        <v>70282</v>
      </c>
    </row>
    <row r="109" spans="1:4" x14ac:dyDescent="0.25">
      <c r="A109" s="40" t="s">
        <v>145</v>
      </c>
      <c r="C109" s="113">
        <v>-2553</v>
      </c>
      <c r="D109" s="107">
        <v>-2414</v>
      </c>
    </row>
    <row r="110" spans="1:4" ht="30" x14ac:dyDescent="0.25">
      <c r="A110" s="42" t="s">
        <v>146</v>
      </c>
      <c r="B110" s="56"/>
      <c r="C110" s="115">
        <v>-77375</v>
      </c>
      <c r="D110" s="109">
        <v>-79316</v>
      </c>
    </row>
    <row r="111" spans="1:4" ht="15.75" thickBot="1" x14ac:dyDescent="0.3">
      <c r="A111" s="40" t="s">
        <v>147</v>
      </c>
      <c r="C111" s="114">
        <v>-3797</v>
      </c>
      <c r="D111" s="108">
        <v>-1791</v>
      </c>
    </row>
    <row r="112" spans="1:4" ht="15.75" thickBot="1" x14ac:dyDescent="0.3">
      <c r="A112" s="53" t="s">
        <v>148</v>
      </c>
      <c r="C112" s="118">
        <v>55182</v>
      </c>
      <c r="D112" s="117">
        <v>59515</v>
      </c>
    </row>
    <row r="113" ht="15.75" thickTop="1" x14ac:dyDescent="0.25"/>
  </sheetData>
  <mergeCells count="2">
    <mergeCell ref="D71:D72"/>
    <mergeCell ref="C71:C72"/>
  </mergeCells>
  <hyperlinks>
    <hyperlink ref="A3" r:id="rId1" display="javascript:void(0);" xr:uid="{A1A70D64-44DC-49A8-9511-E27CFE623800}"/>
    <hyperlink ref="A4" r:id="rId2" display="javascript:void(0);" xr:uid="{6C602FD6-528D-4508-8BBC-339632B59AB8}"/>
    <hyperlink ref="A5" r:id="rId3" display="javascript:void(0);" xr:uid="{0CD6FD7D-74EB-4B79-B414-5273BAE74686}"/>
    <hyperlink ref="A6" r:id="rId4" display="javascript:void(0);" xr:uid="{40617D68-04B0-4217-84AF-5694A64E5C72}"/>
    <hyperlink ref="A7" r:id="rId5" display="javascript:void(0);" xr:uid="{D02D48A9-3564-48DD-BCD4-1233FE24EF85}"/>
    <hyperlink ref="A8" r:id="rId6" display="javascript:void(0);" xr:uid="{A742A94F-ACB0-4EBA-8E04-F6A7AF56680F}"/>
    <hyperlink ref="A9" r:id="rId7" display="javascript:void(0);" xr:uid="{B2EE7AD6-A866-48F7-BEF0-A51F79774027}"/>
    <hyperlink ref="A10" r:id="rId8" display="javascript:void(0);" xr:uid="{1DC58A8E-741E-4878-992F-0C6057EEB526}"/>
    <hyperlink ref="A11" r:id="rId9" display="javascript:void(0);" xr:uid="{1D4C7B52-2439-407F-A4E8-A9A265D97ED3}"/>
    <hyperlink ref="A12" r:id="rId10" display="javascript:void(0);" xr:uid="{51230170-22C0-4814-A10C-B3E4A866B593}"/>
    <hyperlink ref="A13" r:id="rId11" display="javascript:void(0);" xr:uid="{87050E17-8C9F-4024-B673-D6021416BBFA}"/>
    <hyperlink ref="A14" r:id="rId12" display="javascript:void(0);" xr:uid="{AF7B8F2E-DA4B-4E33-83AD-14BF6917CDB2}"/>
    <hyperlink ref="A15" r:id="rId13" display="javascript:void(0);" xr:uid="{D8B00162-DEDC-479E-ADC3-012AFB2E13AB}"/>
    <hyperlink ref="A16" r:id="rId14" display="javascript:void(0);" xr:uid="{E3A959ED-00F7-4F5D-B737-1213ED247FC4}"/>
    <hyperlink ref="A17" r:id="rId15" display="javascript:void(0);" xr:uid="{E8B9FE42-9DA1-41EA-BB14-66A62F44C49F}"/>
    <hyperlink ref="A18" r:id="rId16" display="javascript:void(0);" xr:uid="{36EF2CF2-6981-49A5-831F-19E1C02762F3}"/>
    <hyperlink ref="A19" r:id="rId17" display="javascript:void(0);" xr:uid="{FCC0A5CD-89EF-4684-B5E8-DC1FF2857BEF}"/>
    <hyperlink ref="A20" r:id="rId18" display="javascript:void(0);" xr:uid="{A12473DF-70BE-4253-8DD2-CDB072246C39}"/>
    <hyperlink ref="A21" r:id="rId19" display="javascript:void(0);" xr:uid="{4C8A3E98-AE35-44B6-B1BD-8DDBA501BEEC}"/>
    <hyperlink ref="A22" r:id="rId20" display="javascript:void(0);" xr:uid="{E9E3BFF8-F2D1-4C35-9683-C57E75C72D4E}"/>
    <hyperlink ref="A23" r:id="rId21" display="javascript:void(0);" xr:uid="{C8DC420C-4E52-403C-A42B-214C5B4A98C9}"/>
    <hyperlink ref="A24" r:id="rId22" display="javascript:void(0);" xr:uid="{16B2A52A-F8D1-4A21-8368-41315B97D6A6}"/>
    <hyperlink ref="A25" r:id="rId23" display="javascript:void(0);" xr:uid="{443074D1-139E-4BEA-A2A6-A66A10188981}"/>
    <hyperlink ref="A26" r:id="rId24" display="javascript:void(0);" xr:uid="{62531B52-5A2C-42BB-B039-8025A97AD15A}"/>
    <hyperlink ref="A27" r:id="rId25" display="javascript:void(0);" xr:uid="{949A0515-F261-4A8C-AF51-52CEC2DA6E16}"/>
    <hyperlink ref="A28" r:id="rId26" display="javascript:void(0);" xr:uid="{3DF2A609-B812-453A-87C6-F478142F1ACB}"/>
    <hyperlink ref="A32" r:id="rId27" display="javascript:void(0);" xr:uid="{AE2BCF18-387D-46D4-AB06-2429BE76631C}"/>
    <hyperlink ref="A33" r:id="rId28" display="javascript:void(0);" xr:uid="{95D9F080-1DB5-448B-8F38-0C8614F26B69}"/>
    <hyperlink ref="A34" r:id="rId29" display="javascript:void(0);" xr:uid="{7A9D1AEA-C417-4FDF-A0D2-A089BE754205}"/>
    <hyperlink ref="A35" r:id="rId30" display="javascript:void(0);" xr:uid="{D6E2C463-8F27-471A-A4C8-F6995217FB06}"/>
    <hyperlink ref="A36" r:id="rId31" display="javascript:void(0);" xr:uid="{E01854C1-6C2E-4134-8EDC-E5F523817CC1}"/>
    <hyperlink ref="A37" r:id="rId32" display="javascript:void(0);" xr:uid="{BAD708A5-7968-4ED7-9CCE-449E9A338DFF}"/>
    <hyperlink ref="A38" r:id="rId33" display="javascript:void(0);" xr:uid="{AF341977-553F-49FC-9E2A-A4C4E92A01A1}"/>
    <hyperlink ref="A39" r:id="rId34" display="javascript:void(0);" xr:uid="{6498BE79-2431-4D5E-8FEA-1C3307656FA9}"/>
    <hyperlink ref="A40" r:id="rId35" display="javascript:void(0);" xr:uid="{34A5DC0C-2AE5-4EEB-95B7-FCB7C0BFE531}"/>
    <hyperlink ref="A41" r:id="rId36" display="javascript:void(0);" xr:uid="{741627EA-A6E1-4140-904B-4143596F39FF}"/>
    <hyperlink ref="A42" r:id="rId37" display="javascript:void(0);" xr:uid="{21F45203-D680-456F-8BB4-D5DF8F58FFBB}"/>
    <hyperlink ref="A43" r:id="rId38" display="javascript:void(0);" xr:uid="{E08ECE5B-3D58-43EB-8F9F-F4A6DCAD268F}"/>
    <hyperlink ref="A44" r:id="rId39" display="javascript:void(0);" xr:uid="{A564E48C-1E94-496D-8321-98278B9073BC}"/>
    <hyperlink ref="A45" r:id="rId40" display="javascript:void(0);" xr:uid="{EE59AD1E-46F0-4C13-B218-A8C7133C0A67}"/>
    <hyperlink ref="A46" r:id="rId41" display="javascript:void(0);" xr:uid="{71D1B22B-829F-4381-9F69-60AFA53D2F32}"/>
    <hyperlink ref="A47" r:id="rId42" display="javascript:void(0);" xr:uid="{66E7F915-7629-4527-B5E2-C1B6251ECA47}"/>
    <hyperlink ref="A48" r:id="rId43" display="javascript:void(0);" xr:uid="{A7F72F3A-35EF-405D-B549-0FECD3AE7276}"/>
    <hyperlink ref="A49" r:id="rId44" display="javascript:void(0);" xr:uid="{665D27F0-964B-4943-8EEE-74B54E655FBC}"/>
    <hyperlink ref="A50" r:id="rId45" display="javascript:void(0);" xr:uid="{6D17FFE8-E15F-44F1-8E54-013C85E68758}"/>
    <hyperlink ref="A51" r:id="rId46" display="javascript:void(0);" xr:uid="{8C3AAAB8-B535-44AF-B212-1956A31BC1CD}"/>
    <hyperlink ref="A52" r:id="rId47" display="javascript:void(0);" xr:uid="{7827027C-205D-4C98-AC45-532BA22CA1FE}"/>
    <hyperlink ref="A53" r:id="rId48" display="javascript:void(0);" xr:uid="{1A9AA2E4-D801-4477-B9F3-B25029F4E574}"/>
    <hyperlink ref="A54" r:id="rId49" display="javascript:void(0);" xr:uid="{676ACCA6-C16A-425C-8FBA-A0CAAC0C25E1}"/>
    <hyperlink ref="A55" r:id="rId50" display="javascript:void(0);" xr:uid="{7B11DEAA-23B8-4353-9B97-418AA288A4BB}"/>
    <hyperlink ref="A56" r:id="rId51" display="javascript:void(0);" xr:uid="{A79DA9DA-BADC-42B5-BC4B-0A5871551A94}"/>
    <hyperlink ref="A57" r:id="rId52" display="javascript:void(0);" xr:uid="{F3857F9D-9486-4A08-A4EF-EB14EE6FEBC3}"/>
    <hyperlink ref="A58" r:id="rId53" display="javascript:void(0);" xr:uid="{441005F8-3BC1-4E3E-8A4B-6062249C7BF7}"/>
    <hyperlink ref="A59" r:id="rId54" display="javascript:void(0);" xr:uid="{F62B86F3-192D-49C0-9115-42EE0B6F5D7D}"/>
    <hyperlink ref="A60" r:id="rId55" display="javascript:void(0);" xr:uid="{6C8A3E20-F08D-4A75-8398-CAA9084DFDC0}"/>
    <hyperlink ref="A61" r:id="rId56" display="javascript:void(0);" xr:uid="{0A7EF964-4AF9-4DA9-9017-B44AAD1574B5}"/>
    <hyperlink ref="A62" r:id="rId57" display="javascript:void(0);" xr:uid="{0D770676-586A-4C9E-80FA-FB30BF03B0D4}"/>
    <hyperlink ref="A63" r:id="rId58" display="javascript:void(0);" xr:uid="{281F29DF-69B5-45D6-A5B6-F5D4539C6655}"/>
    <hyperlink ref="A64" r:id="rId59" display="javascript:void(0);" xr:uid="{01BDD0D8-29BF-4A92-8145-CEED946FA9BA}"/>
    <hyperlink ref="A65" r:id="rId60" display="javascript:void(0);" xr:uid="{EEE675A9-BC05-4340-8363-82D14035BE5B}"/>
    <hyperlink ref="A66" r:id="rId61" display="javascript:void(0);" xr:uid="{20405910-79B8-4207-B273-24F50B628683}"/>
    <hyperlink ref="A67" r:id="rId62" display="javascript:void(0);" xr:uid="{B94361A1-7095-41A9-9B9B-8B7889B1DE2D}"/>
    <hyperlink ref="A68" r:id="rId63" display="javascript:void(0);" xr:uid="{A4D08A53-7B9D-4526-BA10-46E6D05929F1}"/>
    <hyperlink ref="A69" r:id="rId64" display="javascript:void(0);" xr:uid="{B49B7246-8E85-42FB-A1D7-0C53239A89B9}"/>
    <hyperlink ref="A73" r:id="rId65" display="javascript:void(0);" xr:uid="{C9CC8FC8-EFF1-46A2-87B7-F88EE03EDDE0}"/>
    <hyperlink ref="A74" r:id="rId66" display="javascript:void(0);" xr:uid="{71D58BD6-4011-4D09-8B01-FEA64279930B}"/>
    <hyperlink ref="A75" r:id="rId67" display="javascript:void(0);" xr:uid="{7A50F9EE-DBFF-4EE8-823B-0BA967F3B9AA}"/>
    <hyperlink ref="A76" r:id="rId68" display="javascript:void(0);" xr:uid="{077FB270-D756-4111-945B-EE2EE3DC736D}"/>
    <hyperlink ref="A77" r:id="rId69" display="javascript:void(0);" xr:uid="{DD9A4497-6C11-4E71-9FDA-92D624CC1C0E}"/>
    <hyperlink ref="A78" r:id="rId70" display="javascript:void(0);" xr:uid="{E7A49FD8-D2DC-4F5C-95AC-0D4888863661}"/>
    <hyperlink ref="A79" r:id="rId71" display="javascript:void(0);" xr:uid="{66B3FDF2-231C-4185-8FD9-4E94A656A397}"/>
    <hyperlink ref="A80" r:id="rId72" display="javascript:void(0);" xr:uid="{26CF47B1-6140-4516-BD19-E19BF5DF1C2C}"/>
    <hyperlink ref="A81" r:id="rId73" display="javascript:void(0);" xr:uid="{5635B9AC-F774-41ED-B058-94B66337600F}"/>
    <hyperlink ref="A82" r:id="rId74" display="javascript:void(0);" xr:uid="{F4A66AD5-5B5B-402A-BA7A-B3EBD6DD49D9}"/>
    <hyperlink ref="A83" r:id="rId75" display="javascript:void(0);" xr:uid="{0D0444BB-BECC-4450-B375-A9FD40A76F43}"/>
    <hyperlink ref="A84" r:id="rId76" display="javascript:void(0);" xr:uid="{3922FF47-C312-47E3-8FF7-FC9F4575FEB3}"/>
    <hyperlink ref="A85" r:id="rId77" display="javascript:void(0);" xr:uid="{6146ECC2-767D-4B9F-BF5B-F0846661B323}"/>
    <hyperlink ref="A86" r:id="rId78" display="javascript:void(0);" xr:uid="{CB30432F-4758-4395-A20D-8990D79F0200}"/>
    <hyperlink ref="A87" r:id="rId79" display="javascript:void(0);" xr:uid="{19F3F656-58D3-4DFE-AAA4-1F3FB6CE94B2}"/>
    <hyperlink ref="A88" r:id="rId80" display="javascript:void(0);" xr:uid="{6F7FD7C7-77EB-4BF2-B136-1B7925C241DF}"/>
    <hyperlink ref="A89" r:id="rId81" display="javascript:void(0);" xr:uid="{9FE5DD77-C0EA-4CAB-AC85-69D8E7DC4AC1}"/>
    <hyperlink ref="A90" r:id="rId82" display="javascript:void(0);" xr:uid="{096223F6-B33A-426A-BF1B-23BF3582E9EA}"/>
    <hyperlink ref="A91" r:id="rId83" display="javascript:void(0);" xr:uid="{66153DAE-34AD-42A4-9138-A9B6831AD51D}"/>
    <hyperlink ref="A92" r:id="rId84" display="javascript:void(0);" xr:uid="{C83A8EFA-0541-4BC9-93C5-FD269D91339A}"/>
    <hyperlink ref="A93" r:id="rId85" display="javascript:void(0);" xr:uid="{A1A3CAD3-92EF-41EC-8296-1096EA710A25}"/>
    <hyperlink ref="A94" r:id="rId86" display="javascript:void(0);" xr:uid="{B6AE6FF1-B6EB-47E0-A1E2-7B02089FA517}"/>
    <hyperlink ref="A95" r:id="rId87" display="javascript:void(0);" xr:uid="{F2924B5E-FCDD-4E4F-A62A-C17336C879C7}"/>
    <hyperlink ref="A96" r:id="rId88" display="javascript:void(0);" xr:uid="{F4D20B04-D589-4D81-ABF3-0563AC9C3151}"/>
    <hyperlink ref="A97" r:id="rId89" display="javascript:void(0);" xr:uid="{A76D671B-41A6-44D5-BE9C-39B9739640FA}"/>
    <hyperlink ref="A98" r:id="rId90" display="javascript:void(0);" xr:uid="{1B9618A9-BAD8-4F18-89CC-2C9EDBC4A3B9}"/>
    <hyperlink ref="A99" r:id="rId91" display="javascript:void(0);" xr:uid="{0F38CDEC-D45B-4F8C-AF12-AF1D74AA1710}"/>
    <hyperlink ref="A100" r:id="rId92" display="javascript:void(0);" xr:uid="{F1A44CBE-4343-4170-B4E5-EAF32E9A23CA}"/>
    <hyperlink ref="A101" r:id="rId93" display="javascript:void(0);" xr:uid="{6E00E14C-4305-481E-84B1-05D8439A6193}"/>
    <hyperlink ref="A102" r:id="rId94" display="javascript:void(0);" xr:uid="{3B6463EC-5906-46E4-9D9D-4B97A0967FC9}"/>
    <hyperlink ref="A103" r:id="rId95" display="javascript:void(0);" xr:uid="{1446CD83-974B-4CA3-BB01-AEDD9BF36138}"/>
    <hyperlink ref="A104" r:id="rId96" display="javascript:void(0);" xr:uid="{225A6066-74C4-4E44-AB8C-4FC377F6B3F8}"/>
    <hyperlink ref="A105" r:id="rId97" display="javascript:void(0);" xr:uid="{66B07928-481C-4B46-9E4C-CBE10BA22148}"/>
    <hyperlink ref="A106" r:id="rId98" display="javascript:void(0);" xr:uid="{B5226550-CADB-46CB-85A9-5BF892D19434}"/>
    <hyperlink ref="A107" r:id="rId99" display="javascript:void(0);" xr:uid="{1DB8DF7C-0A4A-42F4-8DAB-58195010BC64}"/>
    <hyperlink ref="A108" r:id="rId100" display="javascript:void(0);" xr:uid="{56470178-00B0-405D-9941-DC661C61E7F2}"/>
    <hyperlink ref="A109" r:id="rId101" display="javascript:void(0);" xr:uid="{B2016E0E-BCC5-4DD8-B61A-55DC6F5596A7}"/>
    <hyperlink ref="A110" r:id="rId102" display="javascript:void(0);" xr:uid="{F92D6F85-C566-40EE-8274-BE31700916AC}"/>
    <hyperlink ref="A111" r:id="rId103" display="javascript:void(0);" xr:uid="{5D838DE9-9F7E-497E-9807-221B9BC01B49}"/>
    <hyperlink ref="A112" r:id="rId104" display="javascript:void(0);" xr:uid="{8ABA117B-1853-4B05-884C-414974E3CBC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18308-511B-4BFB-B983-63004CFCFF49}">
  <dimension ref="A1:X120"/>
  <sheetViews>
    <sheetView zoomScale="85" zoomScaleNormal="93" workbookViewId="0">
      <selection activeCell="B1" sqref="B1:K35"/>
    </sheetView>
  </sheetViews>
  <sheetFormatPr defaultRowHeight="15" x14ac:dyDescent="0.25"/>
  <cols>
    <col min="1" max="1" width="2" style="129" customWidth="1"/>
    <col min="2" max="2" width="34.140625" style="129" bestFit="1" customWidth="1"/>
    <col min="3" max="3" width="5.7109375" style="129" bestFit="1" customWidth="1"/>
    <col min="4" max="6" width="10.5703125" style="129" bestFit="1" customWidth="1"/>
    <col min="7" max="11" width="10.140625" style="129" bestFit="1" customWidth="1"/>
    <col min="12" max="12" width="9.140625" style="129" customWidth="1"/>
    <col min="13" max="14" width="9.140625" style="129"/>
    <col min="15" max="24" width="9.140625" style="129" customWidth="1"/>
    <col min="25" max="16384" width="9.140625" style="129"/>
  </cols>
  <sheetData>
    <row r="1" spans="1:24" s="176" customFormat="1" x14ac:dyDescent="0.25">
      <c r="A1" s="1"/>
      <c r="B1" s="92"/>
      <c r="C1" s="14"/>
      <c r="D1" s="14"/>
      <c r="E1" s="14"/>
      <c r="F1" s="14"/>
      <c r="G1" s="14"/>
      <c r="H1" s="14"/>
      <c r="I1" s="14"/>
      <c r="J1" s="14"/>
      <c r="K1" s="15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</row>
    <row r="2" spans="1:24" s="176" customFormat="1" x14ac:dyDescent="0.25">
      <c r="A2" s="1"/>
      <c r="B2" s="92"/>
      <c r="C2" s="14"/>
      <c r="D2" s="14"/>
      <c r="E2" s="14"/>
      <c r="F2" s="14"/>
      <c r="G2" s="14"/>
      <c r="H2" s="14"/>
      <c r="I2" s="14"/>
      <c r="J2" s="14"/>
      <c r="K2" s="15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</row>
    <row r="3" spans="1:24" s="176" customFormat="1" ht="15.75" thickBot="1" x14ac:dyDescent="0.3">
      <c r="A3" s="1"/>
      <c r="B3" s="10" t="s">
        <v>0</v>
      </c>
      <c r="C3" s="11"/>
      <c r="D3" s="11"/>
      <c r="E3" s="11"/>
      <c r="F3" s="11"/>
      <c r="G3" s="11"/>
      <c r="H3" s="11"/>
      <c r="I3" s="11"/>
      <c r="J3" s="11"/>
      <c r="K3" s="12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</row>
    <row r="4" spans="1:24" s="176" customFormat="1" x14ac:dyDescent="0.25">
      <c r="A4" s="1"/>
      <c r="B4" s="93" t="s">
        <v>1</v>
      </c>
      <c r="C4" s="1"/>
      <c r="D4" s="1"/>
      <c r="E4" s="1"/>
      <c r="F4" s="1"/>
      <c r="G4" s="1"/>
      <c r="H4" s="1"/>
      <c r="I4" s="1"/>
      <c r="J4" s="1"/>
      <c r="K4" s="16"/>
      <c r="M4" s="129"/>
      <c r="N4" s="129"/>
      <c r="O4" s="129"/>
      <c r="P4" s="129"/>
      <c r="Q4" s="129"/>
      <c r="R4" s="129"/>
      <c r="S4" s="129"/>
      <c r="T4" s="129"/>
      <c r="U4" s="129"/>
      <c r="V4" s="129"/>
      <c r="W4" s="129"/>
      <c r="X4" s="129"/>
    </row>
    <row r="5" spans="1:24" s="176" customFormat="1" ht="15.75" thickBot="1" x14ac:dyDescent="0.3">
      <c r="A5" s="1"/>
      <c r="B5" s="164" t="s">
        <v>150</v>
      </c>
      <c r="C5" s="9"/>
      <c r="D5" s="9"/>
      <c r="E5" s="9"/>
      <c r="F5" s="9"/>
      <c r="G5" s="9"/>
      <c r="H5" s="9"/>
      <c r="I5" s="9"/>
      <c r="J5" s="9"/>
      <c r="K5" s="13"/>
      <c r="M5" s="129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</row>
    <row r="6" spans="1:24" s="176" customFormat="1" x14ac:dyDescent="0.25">
      <c r="A6" s="1"/>
      <c r="B6" s="90"/>
      <c r="C6" s="1"/>
      <c r="D6" s="1"/>
      <c r="E6" s="1"/>
      <c r="F6" s="1"/>
      <c r="G6" s="1"/>
      <c r="H6" s="1"/>
      <c r="I6" s="1"/>
      <c r="J6" s="1"/>
      <c r="K6" s="16"/>
      <c r="M6" s="129"/>
      <c r="N6" s="129"/>
      <c r="O6" s="129"/>
      <c r="P6" s="129"/>
      <c r="Q6" s="129"/>
      <c r="R6" s="129"/>
      <c r="S6" s="129"/>
      <c r="T6" s="129"/>
      <c r="U6" s="129"/>
      <c r="V6" s="129"/>
      <c r="W6" s="129"/>
      <c r="X6" s="129"/>
    </row>
    <row r="7" spans="1:24" s="176" customFormat="1" x14ac:dyDescent="0.25">
      <c r="A7" s="1"/>
      <c r="B7" s="94" t="s">
        <v>106</v>
      </c>
      <c r="C7" s="14"/>
      <c r="D7" s="77" t="s">
        <v>176</v>
      </c>
      <c r="E7" s="204"/>
      <c r="F7" s="204"/>
      <c r="G7" s="77" t="s">
        <v>55</v>
      </c>
      <c r="H7" s="78"/>
      <c r="I7" s="78"/>
      <c r="J7" s="78"/>
      <c r="K7" s="7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</row>
    <row r="8" spans="1:24" s="176" customFormat="1" x14ac:dyDescent="0.25">
      <c r="A8" s="1"/>
      <c r="B8" s="97" t="s">
        <v>2</v>
      </c>
      <c r="C8" s="95" t="s">
        <v>3</v>
      </c>
      <c r="D8" s="190">
        <v>45291</v>
      </c>
      <c r="E8" s="190">
        <f>EOMONTH(D8,12)</f>
        <v>45657</v>
      </c>
      <c r="F8" s="191">
        <f>EOMONTH(E8,12)</f>
        <v>46022</v>
      </c>
      <c r="G8" s="192">
        <f>EOMONTH(F8,12)</f>
        <v>46387</v>
      </c>
      <c r="H8" s="192">
        <f t="shared" ref="H8:K8" si="0">EOMONTH(G8,12)</f>
        <v>46752</v>
      </c>
      <c r="I8" s="192">
        <f t="shared" si="0"/>
        <v>47118</v>
      </c>
      <c r="J8" s="192">
        <f t="shared" si="0"/>
        <v>47483</v>
      </c>
      <c r="K8" s="193">
        <f t="shared" si="0"/>
        <v>47848</v>
      </c>
      <c r="M8" s="129"/>
      <c r="N8" s="129"/>
      <c r="O8" s="129"/>
      <c r="P8" s="129"/>
      <c r="Q8" s="129"/>
      <c r="R8" s="129"/>
      <c r="S8" s="129"/>
      <c r="T8" s="129"/>
      <c r="U8" s="129"/>
      <c r="V8" s="129"/>
      <c r="W8" s="129"/>
      <c r="X8" s="129"/>
    </row>
    <row r="9" spans="1:24" s="176" customFormat="1" x14ac:dyDescent="0.25">
      <c r="A9" s="1"/>
      <c r="B9" s="167"/>
      <c r="C9" s="69" t="s">
        <v>177</v>
      </c>
      <c r="D9" s="205" t="s">
        <v>177</v>
      </c>
      <c r="E9" s="205" t="s">
        <v>177</v>
      </c>
      <c r="F9" s="206" t="s">
        <v>177</v>
      </c>
      <c r="G9" s="207" t="s">
        <v>177</v>
      </c>
      <c r="H9" s="207" t="s">
        <v>177</v>
      </c>
      <c r="I9" s="207" t="s">
        <v>177</v>
      </c>
      <c r="J9" s="207" t="s">
        <v>177</v>
      </c>
      <c r="K9" s="208" t="s">
        <v>177</v>
      </c>
      <c r="M9" s="129"/>
      <c r="N9" s="129"/>
      <c r="O9" s="129"/>
      <c r="P9" s="129"/>
      <c r="Q9" s="129"/>
      <c r="R9" s="129"/>
      <c r="S9" s="129"/>
      <c r="T9" s="129"/>
      <c r="U9" s="129"/>
      <c r="V9" s="129"/>
      <c r="W9" s="129"/>
      <c r="X9" s="129"/>
    </row>
    <row r="10" spans="1:24" s="176" customFormat="1" x14ac:dyDescent="0.25">
      <c r="A10" s="1"/>
      <c r="B10" s="98" t="s">
        <v>5</v>
      </c>
      <c r="C10" s="129"/>
      <c r="D10" s="178">
        <f>'Raw financials'!B7</f>
        <v>25494</v>
      </c>
      <c r="E10" s="178">
        <f>'Raw financials'!C7</f>
        <v>25920</v>
      </c>
      <c r="F10" s="179">
        <f>'Raw financials'!D7</f>
        <v>26885</v>
      </c>
      <c r="G10" s="178">
        <f>F10*(1+G27)</f>
        <v>27557.124999999996</v>
      </c>
      <c r="H10" s="178">
        <f t="shared" ref="H10:K10" si="1">G10*(1+H27)</f>
        <v>28246.053124999995</v>
      </c>
      <c r="I10" s="178">
        <f t="shared" si="1"/>
        <v>28952.204453124992</v>
      </c>
      <c r="J10" s="178">
        <f t="shared" si="1"/>
        <v>29676.009564453114</v>
      </c>
      <c r="K10" s="183">
        <f t="shared" si="1"/>
        <v>30417.909803564438</v>
      </c>
      <c r="M10" s="129"/>
      <c r="N10" s="129"/>
      <c r="O10" s="129"/>
      <c r="P10" s="129"/>
      <c r="Q10" s="129"/>
      <c r="R10" s="129"/>
      <c r="S10" s="129"/>
      <c r="T10" s="129"/>
      <c r="U10" s="129"/>
      <c r="V10" s="129"/>
      <c r="W10" s="129"/>
      <c r="X10" s="129"/>
    </row>
    <row r="11" spans="1:24" s="176" customFormat="1" x14ac:dyDescent="0.25">
      <c r="A11" s="1"/>
      <c r="B11" s="61" t="s">
        <v>6</v>
      </c>
      <c r="C11" s="62"/>
      <c r="D11" s="180">
        <f>-SUM('Raw financials'!B9:B13)</f>
        <v>-10931</v>
      </c>
      <c r="E11" s="180">
        <f>-SUM('Raw financials'!C9:C13)</f>
        <v>-11210</v>
      </c>
      <c r="F11" s="189">
        <f>-SUM('Raw financials'!D9:D13)</f>
        <v>-11451</v>
      </c>
      <c r="G11" s="180">
        <f>G28*G10</f>
        <v>-11823.635785439134</v>
      </c>
      <c r="H11" s="180">
        <f t="shared" ref="H11:K11" si="2">H28*H10</f>
        <v>-12121.971878585349</v>
      </c>
      <c r="I11" s="180">
        <f t="shared" si="2"/>
        <v>-12392.901023167322</v>
      </c>
      <c r="J11" s="180">
        <f t="shared" si="2"/>
        <v>-12723.710928146382</v>
      </c>
      <c r="K11" s="184">
        <f t="shared" si="2"/>
        <v>-13038.711070459132</v>
      </c>
      <c r="M11" s="129"/>
      <c r="N11" s="129"/>
      <c r="O11" s="129"/>
      <c r="P11" s="129"/>
      <c r="Q11" s="129"/>
      <c r="R11" s="129"/>
      <c r="S11" s="129"/>
      <c r="T11" s="129"/>
      <c r="U11" s="129"/>
      <c r="V11" s="129"/>
      <c r="W11" s="129"/>
      <c r="X11" s="129"/>
    </row>
    <row r="12" spans="1:24" s="176" customFormat="1" x14ac:dyDescent="0.25">
      <c r="A12" s="1"/>
      <c r="B12" s="100" t="s">
        <v>7</v>
      </c>
      <c r="C12" s="22"/>
      <c r="D12" s="178">
        <f>SUM(D10:D11)</f>
        <v>14563</v>
      </c>
      <c r="E12" s="178">
        <f t="shared" ref="E12:F12" si="3">SUM(E10:E11)</f>
        <v>14710</v>
      </c>
      <c r="F12" s="179">
        <f t="shared" si="3"/>
        <v>15434</v>
      </c>
      <c r="G12" s="178">
        <f t="shared" ref="G12" si="4">SUM(G10:G11)</f>
        <v>15733.489214560863</v>
      </c>
      <c r="H12" s="178">
        <f t="shared" ref="H12" si="5">SUM(H10:H11)</f>
        <v>16124.081246414646</v>
      </c>
      <c r="I12" s="178">
        <f t="shared" ref="I12" si="6">SUM(I10:I11)</f>
        <v>16559.303429957668</v>
      </c>
      <c r="J12" s="178">
        <f t="shared" ref="J12" si="7">SUM(J10:J11)</f>
        <v>16952.298636306732</v>
      </c>
      <c r="K12" s="188">
        <f t="shared" ref="K12" si="8">SUM(K10:K11)</f>
        <v>17379.198733105306</v>
      </c>
      <c r="M12" s="129"/>
      <c r="N12" s="129"/>
      <c r="O12" s="129"/>
      <c r="P12" s="129"/>
      <c r="Q12" s="129"/>
      <c r="R12" s="129"/>
      <c r="S12" s="129"/>
      <c r="T12" s="129"/>
      <c r="U12" s="129"/>
      <c r="V12" s="129"/>
      <c r="W12" s="129"/>
      <c r="X12" s="129"/>
    </row>
    <row r="13" spans="1:24" s="176" customFormat="1" x14ac:dyDescent="0.25">
      <c r="A13" s="1"/>
      <c r="B13" s="99" t="s">
        <v>46</v>
      </c>
      <c r="C13" s="21"/>
      <c r="D13" s="181">
        <f>-SUM('Raw financials'!B15:B16)</f>
        <v>-2534</v>
      </c>
      <c r="E13" s="181">
        <f>-SUM('Raw financials'!C15:C16)</f>
        <v>-2551</v>
      </c>
      <c r="F13" s="195">
        <f>-SUM('Raw financials'!D15:D16)</f>
        <v>-2585</v>
      </c>
      <c r="G13" s="181">
        <f>G29*G10</f>
        <v>-2700.2713843068218</v>
      </c>
      <c r="H13" s="181">
        <f t="shared" ref="H13:K13" si="9">H29*H10</f>
        <v>-2754.5232595182433</v>
      </c>
      <c r="I13" s="181">
        <f t="shared" si="9"/>
        <v>-2814.7070765895173</v>
      </c>
      <c r="J13" s="181">
        <f t="shared" si="9"/>
        <v>-2895.6475639171322</v>
      </c>
      <c r="K13" s="185">
        <f t="shared" si="9"/>
        <v>-2963.8535499588529</v>
      </c>
      <c r="M13" s="129"/>
      <c r="N13" s="129"/>
      <c r="O13" s="129"/>
      <c r="P13" s="129"/>
      <c r="Q13" s="129"/>
      <c r="R13" s="129"/>
      <c r="S13" s="129"/>
      <c r="T13" s="129"/>
      <c r="U13" s="129"/>
      <c r="V13" s="129"/>
      <c r="W13" s="129"/>
      <c r="X13" s="129"/>
    </row>
    <row r="14" spans="1:24" s="176" customFormat="1" x14ac:dyDescent="0.25">
      <c r="A14" s="1"/>
      <c r="B14" s="61" t="s">
        <v>108</v>
      </c>
      <c r="C14" s="62"/>
      <c r="D14" s="180">
        <f>-'Raw financials'!B14</f>
        <v>-382</v>
      </c>
      <c r="E14" s="180">
        <f>-'Raw financials'!C14</f>
        <v>-447</v>
      </c>
      <c r="F14" s="189">
        <f>-'Raw financials'!D14</f>
        <v>-457</v>
      </c>
      <c r="G14" s="180">
        <f>G31*G10</f>
        <v>-452.19050744896577</v>
      </c>
      <c r="H14" s="180">
        <f>H31*H10</f>
        <v>-476.91484759232401</v>
      </c>
      <c r="I14" s="180">
        <f>I31*I10</f>
        <v>-485.35312876523386</v>
      </c>
      <c r="J14" s="180">
        <f>J31*J10</f>
        <v>-495.16844564061125</v>
      </c>
      <c r="K14" s="184">
        <f>K31*K10</f>
        <v>-510.35230532869252</v>
      </c>
      <c r="L14" s="237"/>
      <c r="M14" s="237"/>
      <c r="N14" s="237"/>
      <c r="O14" s="237"/>
      <c r="P14" s="237"/>
      <c r="Q14" s="129"/>
      <c r="R14" s="129"/>
      <c r="S14" s="129"/>
      <c r="T14" s="129"/>
      <c r="U14" s="129"/>
      <c r="V14" s="129"/>
      <c r="W14" s="129"/>
      <c r="X14" s="129"/>
    </row>
    <row r="15" spans="1:24" s="176" customFormat="1" x14ac:dyDescent="0.25">
      <c r="A15" s="1"/>
      <c r="B15" s="98" t="s">
        <v>8</v>
      </c>
      <c r="C15" s="23"/>
      <c r="D15" s="178">
        <f>SUM(D12:D14)</f>
        <v>11647</v>
      </c>
      <c r="E15" s="178">
        <f t="shared" ref="E15:F15" si="10">SUM(E12:E14)</f>
        <v>11712</v>
      </c>
      <c r="F15" s="179">
        <f t="shared" si="10"/>
        <v>12392</v>
      </c>
      <c r="G15" s="178">
        <f t="shared" ref="G15" si="11">SUM(G12:G14)</f>
        <v>12581.027322805076</v>
      </c>
      <c r="H15" s="178">
        <f t="shared" ref="H15" si="12">SUM(H12:H14)</f>
        <v>12892.643139304077</v>
      </c>
      <c r="I15" s="178">
        <f t="shared" ref="I15" si="13">SUM(I12:I14)</f>
        <v>13259.243224602918</v>
      </c>
      <c r="J15" s="178">
        <f t="shared" ref="J15" si="14">SUM(J12:J14)</f>
        <v>13561.482626748988</v>
      </c>
      <c r="K15" s="188">
        <f t="shared" ref="K15" si="15">SUM(K12:K14)</f>
        <v>13904.992877817762</v>
      </c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W15" s="129"/>
      <c r="X15" s="129"/>
    </row>
    <row r="16" spans="1:24" s="176" customFormat="1" x14ac:dyDescent="0.25">
      <c r="A16" s="1"/>
      <c r="B16" s="99" t="s">
        <v>184</v>
      </c>
      <c r="C16" s="21"/>
      <c r="D16" s="181">
        <f>-'Raw financials'!B19</f>
        <v>-1361</v>
      </c>
      <c r="E16" s="181">
        <f>-'Raw financials'!C19</f>
        <v>-1506</v>
      </c>
      <c r="F16" s="195">
        <f>-'Raw financials'!D19</f>
        <v>-1582</v>
      </c>
      <c r="G16" s="181">
        <f>G32*G15</f>
        <v>-1564.6738490123207</v>
      </c>
      <c r="H16" s="181">
        <f>H32*H15</f>
        <v>-1635.7188890509249</v>
      </c>
      <c r="I16" s="181">
        <f>I32*I15</f>
        <v>-1674.6557253599588</v>
      </c>
      <c r="J16" s="181">
        <f>J32*J15</f>
        <v>-1706.6719300799136</v>
      </c>
      <c r="K16" s="185">
        <f>K32*K15</f>
        <v>-1756.7580724458348</v>
      </c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W16" s="129"/>
      <c r="X16" s="129"/>
    </row>
    <row r="17" spans="1:24" s="176" customFormat="1" x14ac:dyDescent="0.25">
      <c r="A17" s="1"/>
      <c r="B17" s="61" t="s">
        <v>182</v>
      </c>
      <c r="C17" s="62"/>
      <c r="D17" s="180">
        <f>-'Raw financials'!B20</f>
        <v>236</v>
      </c>
      <c r="E17" s="180">
        <f>-'Raw financials'!C20</f>
        <v>139</v>
      </c>
      <c r="F17" s="189">
        <f>-'Raw financials'!D20</f>
        <v>87</v>
      </c>
      <c r="G17" s="186" t="s">
        <v>56</v>
      </c>
      <c r="H17" s="186" t="s">
        <v>56</v>
      </c>
      <c r="I17" s="186" t="s">
        <v>56</v>
      </c>
      <c r="J17" s="186" t="s">
        <v>56</v>
      </c>
      <c r="K17" s="187" t="s">
        <v>56</v>
      </c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W17" s="129"/>
      <c r="X17" s="129"/>
    </row>
    <row r="18" spans="1:24" s="176" customFormat="1" x14ac:dyDescent="0.25">
      <c r="A18" s="1"/>
      <c r="B18" s="100" t="s">
        <v>9</v>
      </c>
      <c r="C18" s="24"/>
      <c r="D18" s="178">
        <f>SUM(D15:D17)</f>
        <v>10522</v>
      </c>
      <c r="E18" s="178">
        <f t="shared" ref="E18:F18" si="16">SUM(E15:E17)</f>
        <v>10345</v>
      </c>
      <c r="F18" s="179">
        <f t="shared" si="16"/>
        <v>10897</v>
      </c>
      <c r="G18" s="178">
        <f t="shared" ref="G18" si="17">SUM(G15:G17)</f>
        <v>11016.353473792755</v>
      </c>
      <c r="H18" s="178">
        <f t="shared" ref="H18" si="18">SUM(H15:H17)</f>
        <v>11256.924250253152</v>
      </c>
      <c r="I18" s="178">
        <f t="shared" ref="I18" si="19">SUM(I15:I17)</f>
        <v>11584.58749924296</v>
      </c>
      <c r="J18" s="178">
        <f t="shared" ref="J18" si="20">SUM(J15:J17)</f>
        <v>11854.810696669074</v>
      </c>
      <c r="K18" s="188">
        <f t="shared" ref="K18" si="21">SUM(K15:K17)</f>
        <v>12148.234805371927</v>
      </c>
      <c r="M18" s="129"/>
      <c r="N18" s="129"/>
      <c r="O18" s="129"/>
      <c r="P18" s="129"/>
      <c r="Q18" s="129"/>
      <c r="R18" s="129"/>
      <c r="S18" s="129"/>
      <c r="T18" s="129"/>
      <c r="U18" s="129"/>
      <c r="V18" s="129"/>
      <c r="W18" s="129"/>
      <c r="X18" s="129"/>
    </row>
    <row r="19" spans="1:24" s="176" customFormat="1" ht="17.25" x14ac:dyDescent="0.25">
      <c r="A19" s="1"/>
      <c r="B19" s="61" t="s">
        <v>183</v>
      </c>
      <c r="C19" s="62"/>
      <c r="D19" s="180">
        <f>-'Raw financials'!B22</f>
        <v>-2053</v>
      </c>
      <c r="E19" s="180">
        <f>-'Raw financials'!C22</f>
        <v>-2121</v>
      </c>
      <c r="F19" s="189">
        <f>-'Raw financials'!D22</f>
        <v>-2334</v>
      </c>
      <c r="G19" s="180">
        <f>-G33*G18</f>
        <v>-2313.4342294964786</v>
      </c>
      <c r="H19" s="180">
        <f t="shared" ref="H19:K19" si="22">-H33*H18</f>
        <v>-2363.9540925531619</v>
      </c>
      <c r="I19" s="180">
        <f t="shared" si="22"/>
        <v>-2432.7633748410217</v>
      </c>
      <c r="J19" s="180">
        <f t="shared" si="22"/>
        <v>-2489.5102463005055</v>
      </c>
      <c r="K19" s="184">
        <f t="shared" si="22"/>
        <v>-2551.1293091281045</v>
      </c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W19" s="129"/>
      <c r="X19" s="129"/>
    </row>
    <row r="20" spans="1:24" s="176" customFormat="1" ht="15.75" thickBot="1" x14ac:dyDescent="0.3">
      <c r="A20" s="1"/>
      <c r="B20" s="65" t="s">
        <v>10</v>
      </c>
      <c r="C20" s="66"/>
      <c r="D20" s="182">
        <f>SUM(D18:D19)</f>
        <v>8469</v>
      </c>
      <c r="E20" s="182">
        <f t="shared" ref="E20:F20" si="23">SUM(E18:E19)</f>
        <v>8224</v>
      </c>
      <c r="F20" s="196">
        <f t="shared" si="23"/>
        <v>8563</v>
      </c>
      <c r="G20" s="182">
        <f t="shared" ref="G20" si="24">SUM(G18:G19)</f>
        <v>8702.9192442962758</v>
      </c>
      <c r="H20" s="182">
        <f t="shared" ref="H20" si="25">SUM(H18:H19)</f>
        <v>8892.9701576999905</v>
      </c>
      <c r="I20" s="182">
        <f t="shared" ref="I20" si="26">SUM(I18:I19)</f>
        <v>9151.8241244019373</v>
      </c>
      <c r="J20" s="182">
        <f t="shared" ref="J20" si="27">SUM(J18:J19)</f>
        <v>9365.3004503685679</v>
      </c>
      <c r="K20" s="194">
        <f t="shared" ref="K20" si="28">SUM(K18:K19)</f>
        <v>9597.1054962438229</v>
      </c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W20" s="129"/>
      <c r="X20" s="129"/>
    </row>
    <row r="21" spans="1:24" s="176" customFormat="1" ht="15.75" thickTop="1" x14ac:dyDescent="0.25">
      <c r="A21" s="1"/>
      <c r="B21" s="98"/>
      <c r="C21" s="23"/>
      <c r="D21" s="63"/>
      <c r="E21" s="63"/>
      <c r="F21" s="64"/>
      <c r="G21" s="81"/>
      <c r="H21" s="81"/>
      <c r="I21" s="81"/>
      <c r="J21" s="81"/>
      <c r="K21" s="175"/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W21" s="129"/>
      <c r="X21" s="129"/>
    </row>
    <row r="22" spans="1:24" s="176" customFormat="1" x14ac:dyDescent="0.25">
      <c r="A22" s="1"/>
      <c r="B22" s="98" t="s">
        <v>11</v>
      </c>
      <c r="C22" s="20"/>
      <c r="D22" s="178">
        <f>D15</f>
        <v>11647</v>
      </c>
      <c r="E22" s="178">
        <f t="shared" ref="E22:F22" si="29">E15</f>
        <v>11712</v>
      </c>
      <c r="F22" s="179">
        <f t="shared" si="29"/>
        <v>12392</v>
      </c>
      <c r="G22" s="178">
        <f>G15</f>
        <v>12581.027322805076</v>
      </c>
      <c r="H22" s="178">
        <f t="shared" ref="H22:K22" si="30">H15</f>
        <v>12892.643139304077</v>
      </c>
      <c r="I22" s="178">
        <f t="shared" si="30"/>
        <v>13259.243224602918</v>
      </c>
      <c r="J22" s="178">
        <f t="shared" si="30"/>
        <v>13561.482626748988</v>
      </c>
      <c r="K22" s="188">
        <f t="shared" si="30"/>
        <v>13904.992877817762</v>
      </c>
      <c r="M22" s="129"/>
      <c r="N22" s="129"/>
      <c r="O22" s="129"/>
      <c r="P22" s="129"/>
      <c r="Q22" s="129"/>
      <c r="R22" s="129"/>
      <c r="S22" s="129"/>
      <c r="T22" s="129"/>
      <c r="U22" s="129"/>
      <c r="V22" s="129"/>
      <c r="W22" s="129"/>
      <c r="X22" s="129"/>
    </row>
    <row r="23" spans="1:24" s="176" customFormat="1" ht="17.25" x14ac:dyDescent="0.25">
      <c r="A23" s="1"/>
      <c r="B23" s="61" t="s">
        <v>12</v>
      </c>
      <c r="C23" s="87"/>
      <c r="D23" s="180">
        <f>'Cash flows'!D8</f>
        <v>1978</v>
      </c>
      <c r="E23" s="180">
        <f>'Cash flows'!E8</f>
        <v>2097</v>
      </c>
      <c r="F23" s="189">
        <f>'Cash flows'!F8</f>
        <v>2199</v>
      </c>
      <c r="G23" s="180">
        <f>'Cash flows'!G8</f>
        <v>2207.164799482367</v>
      </c>
      <c r="H23" s="180">
        <f>'Cash flows'!H8</f>
        <v>2290.5899725944264</v>
      </c>
      <c r="I23" s="180">
        <f>'Cash flows'!I8</f>
        <v>2376.8069263624116</v>
      </c>
      <c r="J23" s="180">
        <f>'Cash flows'!J8</f>
        <v>2465.9031090859248</v>
      </c>
      <c r="K23" s="184">
        <f>'Cash flows'!K8</f>
        <v>2557.9685966166371</v>
      </c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W23" s="129"/>
      <c r="X23" s="129"/>
    </row>
    <row r="24" spans="1:24" s="176" customFormat="1" x14ac:dyDescent="0.25">
      <c r="A24" s="1"/>
      <c r="B24" s="98" t="s">
        <v>13</v>
      </c>
      <c r="C24" s="23"/>
      <c r="D24" s="178">
        <f>D22+D23</f>
        <v>13625</v>
      </c>
      <c r="E24" s="178">
        <f t="shared" ref="E24:F24" si="31">E22+E23</f>
        <v>13809</v>
      </c>
      <c r="F24" s="179">
        <f t="shared" si="31"/>
        <v>14591</v>
      </c>
      <c r="G24" s="178">
        <f>G22+G23</f>
        <v>14788.192122287443</v>
      </c>
      <c r="H24" s="178">
        <f t="shared" ref="H24:K24" si="32">H22+H23</f>
        <v>15183.233111898502</v>
      </c>
      <c r="I24" s="178">
        <f t="shared" si="32"/>
        <v>15636.05015096533</v>
      </c>
      <c r="J24" s="178">
        <f t="shared" si="32"/>
        <v>16027.385735834912</v>
      </c>
      <c r="K24" s="188">
        <f t="shared" si="32"/>
        <v>16462.9614744344</v>
      </c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W24" s="129"/>
      <c r="X24" s="129"/>
    </row>
    <row r="25" spans="1:24" s="176" customFormat="1" x14ac:dyDescent="0.25">
      <c r="A25" s="1"/>
      <c r="B25" s="90"/>
      <c r="C25" s="1"/>
      <c r="D25" s="1"/>
      <c r="E25" s="1"/>
      <c r="F25" s="17"/>
      <c r="G25" s="81"/>
      <c r="H25" s="81"/>
      <c r="I25" s="81"/>
      <c r="J25" s="81"/>
      <c r="K25" s="82"/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W25" s="129"/>
      <c r="X25" s="129"/>
    </row>
    <row r="26" spans="1:24" s="176" customFormat="1" x14ac:dyDescent="0.25">
      <c r="A26" s="1"/>
      <c r="B26" s="94" t="s">
        <v>47</v>
      </c>
      <c r="C26" s="96" t="s">
        <v>3</v>
      </c>
      <c r="D26" s="190">
        <v>45291</v>
      </c>
      <c r="E26" s="190">
        <f>EOMONTH(D26,12)</f>
        <v>45657</v>
      </c>
      <c r="F26" s="191">
        <f>EOMONTH(E26,12)</f>
        <v>46022</v>
      </c>
      <c r="G26" s="192">
        <f>EOMONTH(F26,12)</f>
        <v>46387</v>
      </c>
      <c r="H26" s="192">
        <f t="shared" ref="H26:K26" si="33">EOMONTH(G26,12)</f>
        <v>46752</v>
      </c>
      <c r="I26" s="192">
        <f t="shared" si="33"/>
        <v>47118</v>
      </c>
      <c r="J26" s="192">
        <f t="shared" si="33"/>
        <v>47483</v>
      </c>
      <c r="K26" s="193">
        <f t="shared" si="33"/>
        <v>47848</v>
      </c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W26" s="129"/>
      <c r="X26" s="129"/>
    </row>
    <row r="27" spans="1:24" s="176" customFormat="1" x14ac:dyDescent="0.25">
      <c r="A27" s="1"/>
      <c r="B27" s="102" t="s">
        <v>48</v>
      </c>
      <c r="C27" s="68" t="s">
        <v>52</v>
      </c>
      <c r="D27" s="197">
        <v>0.1</v>
      </c>
      <c r="E27" s="198">
        <f>(E10-D10)/D10</f>
        <v>1.670981407389974E-2</v>
      </c>
      <c r="F27" s="199">
        <f>(F10-E10)/E10</f>
        <v>3.7229938271604937E-2</v>
      </c>
      <c r="G27" s="198">
        <v>2.5000000000000001E-2</v>
      </c>
      <c r="H27" s="198">
        <v>2.5000000000000001E-2</v>
      </c>
      <c r="I27" s="198">
        <v>2.5000000000000001E-2</v>
      </c>
      <c r="J27" s="198">
        <v>2.5000000000000001E-2</v>
      </c>
      <c r="K27" s="198">
        <v>2.5000000000000001E-2</v>
      </c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W27" s="129"/>
      <c r="X27" s="129"/>
    </row>
    <row r="28" spans="1:24" s="176" customFormat="1" x14ac:dyDescent="0.25">
      <c r="A28" s="1"/>
      <c r="B28" s="102" t="s">
        <v>49</v>
      </c>
      <c r="C28" s="1"/>
      <c r="D28" s="198">
        <f>D11/D10</f>
        <v>-0.42876755314976073</v>
      </c>
      <c r="E28" s="198">
        <f t="shared" ref="E28:F28" si="34">E11/E10</f>
        <v>-0.43248456790123457</v>
      </c>
      <c r="F28" s="199">
        <f t="shared" si="34"/>
        <v>-0.42592523712107122</v>
      </c>
      <c r="G28" s="198">
        <f>AVERAGE(D28:F28)</f>
        <v>-0.4290591193906888</v>
      </c>
      <c r="H28" s="198">
        <f t="shared" ref="H28:K28" si="35">AVERAGE(E28:G28)</f>
        <v>-0.42915630813766487</v>
      </c>
      <c r="I28" s="198">
        <f t="shared" si="35"/>
        <v>-0.42804688821647496</v>
      </c>
      <c r="J28" s="198">
        <f t="shared" si="35"/>
        <v>-0.42875410524827623</v>
      </c>
      <c r="K28" s="200">
        <f t="shared" si="35"/>
        <v>-0.42865243386747198</v>
      </c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W28" s="129"/>
      <c r="X28" s="129"/>
    </row>
    <row r="29" spans="1:24" s="176" customFormat="1" x14ac:dyDescent="0.25">
      <c r="A29" s="1"/>
      <c r="B29" s="102" t="s">
        <v>53</v>
      </c>
      <c r="C29" s="1"/>
      <c r="D29" s="198">
        <f>D13/D10</f>
        <v>-9.9395936298736956E-2</v>
      </c>
      <c r="E29" s="198">
        <f t="shared" ref="E29:F29" si="36">E13/E10</f>
        <v>-9.8418209876543206E-2</v>
      </c>
      <c r="F29" s="199">
        <f t="shared" si="36"/>
        <v>-9.6150269667100607E-2</v>
      </c>
      <c r="G29" s="198">
        <f>AVERAGE(D29:F29)</f>
        <v>-9.7988138614126918E-2</v>
      </c>
      <c r="H29" s="198">
        <f t="shared" ref="H29:K29" si="37">AVERAGE(E29:G29)</f>
        <v>-9.751887271925691E-2</v>
      </c>
      <c r="I29" s="198">
        <f t="shared" si="37"/>
        <v>-9.7219093666828141E-2</v>
      </c>
      <c r="J29" s="198">
        <f t="shared" si="37"/>
        <v>-9.7575368333403981E-2</v>
      </c>
      <c r="K29" s="200">
        <f t="shared" si="37"/>
        <v>-9.7437778239829673E-2</v>
      </c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W29" s="129"/>
      <c r="X29" s="129"/>
    </row>
    <row r="30" spans="1:24" s="176" customFormat="1" x14ac:dyDescent="0.25">
      <c r="A30" s="1"/>
      <c r="B30" s="102" t="s">
        <v>50</v>
      </c>
      <c r="C30" s="1"/>
      <c r="D30" s="198">
        <f>D23/D10</f>
        <v>7.7586883188201144E-2</v>
      </c>
      <c r="E30" s="198">
        <f t="shared" ref="E30:F30" si="38">E23/E10</f>
        <v>8.0902777777777782E-2</v>
      </c>
      <c r="F30" s="199">
        <f t="shared" si="38"/>
        <v>8.1792821275804353E-2</v>
      </c>
      <c r="G30" s="198">
        <f>AVERAGE(D30:F30)</f>
        <v>8.0094160747261098E-2</v>
      </c>
      <c r="H30" s="198">
        <f>G30+0.1%</f>
        <v>8.1094160747261099E-2</v>
      </c>
      <c r="I30" s="198">
        <f t="shared" ref="I30:K30" si="39">H30+0.1%</f>
        <v>8.20941607472611E-2</v>
      </c>
      <c r="J30" s="198">
        <f t="shared" si="39"/>
        <v>8.30941607472611E-2</v>
      </c>
      <c r="K30" s="200">
        <f t="shared" si="39"/>
        <v>8.4094160747261101E-2</v>
      </c>
      <c r="M30" s="129"/>
      <c r="N30" s="129"/>
      <c r="O30" s="129"/>
      <c r="P30" s="129"/>
      <c r="Q30" s="129"/>
      <c r="R30" s="129"/>
      <c r="S30" s="129"/>
      <c r="T30" s="129"/>
      <c r="U30" s="129"/>
      <c r="V30" s="129"/>
      <c r="W30" s="129"/>
      <c r="X30" s="129"/>
    </row>
    <row r="31" spans="1:24" s="176" customFormat="1" x14ac:dyDescent="0.25">
      <c r="A31" s="1"/>
      <c r="B31" s="102" t="s">
        <v>109</v>
      </c>
      <c r="C31" s="1"/>
      <c r="D31" s="198">
        <f>D14/D10</f>
        <v>-1.4983917784576762E-2</v>
      </c>
      <c r="E31" s="198">
        <f>E14/E10</f>
        <v>-1.7245370370370369E-2</v>
      </c>
      <c r="F31" s="199">
        <f>F14/F10</f>
        <v>-1.6998326204203086E-2</v>
      </c>
      <c r="G31" s="198">
        <f>AVERAGE(D31:F31)</f>
        <v>-1.6409204786383406E-2</v>
      </c>
      <c r="H31" s="198">
        <f t="shared" ref="H31:K32" si="40">AVERAGE(E31:G31)</f>
        <v>-1.6884300453652287E-2</v>
      </c>
      <c r="I31" s="198">
        <f t="shared" si="40"/>
        <v>-1.676394381474626E-2</v>
      </c>
      <c r="J31" s="198">
        <f t="shared" si="40"/>
        <v>-1.6685816351593986E-2</v>
      </c>
      <c r="K31" s="200">
        <f t="shared" si="40"/>
        <v>-1.6778020206664176E-2</v>
      </c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W31" s="129"/>
      <c r="X31" s="129"/>
    </row>
    <row r="32" spans="1:24" s="176" customFormat="1" x14ac:dyDescent="0.25">
      <c r="A32" s="1"/>
      <c r="B32" s="102" t="s">
        <v>54</v>
      </c>
      <c r="C32" s="1"/>
      <c r="D32" s="198">
        <f>D16/D15</f>
        <v>-0.11685412552588649</v>
      </c>
      <c r="E32" s="198">
        <f>E16/E15</f>
        <v>-0.1285860655737705</v>
      </c>
      <c r="F32" s="199">
        <f>F16/F15</f>
        <v>-0.1276630083925113</v>
      </c>
      <c r="G32" s="198">
        <f t="shared" ref="G32" si="41">AVERAGE(D32:F32)</f>
        <v>-0.1243677331640561</v>
      </c>
      <c r="H32" s="198">
        <f t="shared" si="40"/>
        <v>-0.12687226904344598</v>
      </c>
      <c r="I32" s="198">
        <f t="shared" si="40"/>
        <v>-0.12630100353333781</v>
      </c>
      <c r="J32" s="198">
        <f t="shared" si="40"/>
        <v>-0.12584700191361331</v>
      </c>
      <c r="K32" s="200">
        <f t="shared" si="40"/>
        <v>-0.12634009149679903</v>
      </c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W32" s="129"/>
      <c r="X32" s="129"/>
    </row>
    <row r="33" spans="1:24" s="176" customFormat="1" x14ac:dyDescent="0.25">
      <c r="A33" s="1"/>
      <c r="B33" s="103" t="s">
        <v>51</v>
      </c>
      <c r="C33" s="7"/>
      <c r="D33" s="201">
        <f>D19/D18</f>
        <v>-0.19511499714883102</v>
      </c>
      <c r="E33" s="201">
        <f>E19/E18</f>
        <v>-0.20502658289028516</v>
      </c>
      <c r="F33" s="202">
        <f>F19/F18</f>
        <v>-0.21418739102505277</v>
      </c>
      <c r="G33" s="201">
        <v>0.21</v>
      </c>
      <c r="H33" s="201">
        <v>0.21</v>
      </c>
      <c r="I33" s="201">
        <v>0.21</v>
      </c>
      <c r="J33" s="201">
        <v>0.21</v>
      </c>
      <c r="K33" s="203">
        <v>0.21</v>
      </c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W33" s="129"/>
      <c r="X33" s="129"/>
    </row>
    <row r="34" spans="1:24" s="176" customFormat="1" x14ac:dyDescent="0.25">
      <c r="A34" s="1"/>
      <c r="B34" s="91"/>
      <c r="C34" s="1"/>
      <c r="D34" s="70"/>
      <c r="E34" s="70"/>
      <c r="F34" s="70"/>
      <c r="G34" s="81"/>
      <c r="H34" s="81"/>
      <c r="I34" s="81"/>
      <c r="J34" s="81"/>
      <c r="K34" s="82"/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W34" s="129"/>
      <c r="X34" s="129"/>
    </row>
    <row r="35" spans="1:24" s="176" customFormat="1" x14ac:dyDescent="0.25">
      <c r="A35" s="1"/>
      <c r="B35" s="173" t="s">
        <v>57</v>
      </c>
      <c r="C35" s="7"/>
      <c r="D35" s="88"/>
      <c r="E35" s="88"/>
      <c r="F35" s="88"/>
      <c r="G35" s="80"/>
      <c r="H35" s="80"/>
      <c r="I35" s="80"/>
      <c r="J35" s="80"/>
      <c r="K35" s="174"/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W35" s="129"/>
      <c r="X35" s="129"/>
    </row>
    <row r="36" spans="1:24" x14ac:dyDescent="0.25">
      <c r="A36" s="1"/>
      <c r="D36" s="169"/>
      <c r="E36" s="169"/>
      <c r="F36" s="169"/>
      <c r="G36" s="170"/>
      <c r="H36" s="170"/>
      <c r="I36" s="170"/>
      <c r="J36" s="170"/>
      <c r="K36" s="170"/>
    </row>
    <row r="37" spans="1:24" x14ac:dyDescent="0.25">
      <c r="A37" s="1"/>
    </row>
    <row r="38" spans="1:24" x14ac:dyDescent="0.25">
      <c r="A38" s="1"/>
    </row>
    <row r="39" spans="1:24" x14ac:dyDescent="0.25">
      <c r="A39" s="1"/>
    </row>
    <row r="40" spans="1:24" x14ac:dyDescent="0.25">
      <c r="A40" s="1"/>
    </row>
    <row r="41" spans="1:24" x14ac:dyDescent="0.25">
      <c r="A41" s="1"/>
    </row>
    <row r="42" spans="1:24" x14ac:dyDescent="0.25">
      <c r="A42" s="1"/>
    </row>
    <row r="43" spans="1:24" x14ac:dyDescent="0.25">
      <c r="A43" s="1"/>
    </row>
    <row r="44" spans="1:24" x14ac:dyDescent="0.25">
      <c r="A44" s="1"/>
    </row>
    <row r="45" spans="1:24" x14ac:dyDescent="0.25">
      <c r="A45" s="1"/>
    </row>
    <row r="46" spans="1:24" x14ac:dyDescent="0.25">
      <c r="A46" s="1"/>
    </row>
    <row r="47" spans="1:24" x14ac:dyDescent="0.25">
      <c r="A47" s="1"/>
    </row>
    <row r="48" spans="1:24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1" x14ac:dyDescent="0.25">
      <c r="A65" s="1"/>
    </row>
    <row r="66" spans="1:11" x14ac:dyDescent="0.25">
      <c r="A66" s="1"/>
    </row>
    <row r="67" spans="1:11" x14ac:dyDescent="0.25">
      <c r="A67" s="1"/>
    </row>
    <row r="68" spans="1:11" x14ac:dyDescent="0.25">
      <c r="A68" s="1"/>
    </row>
    <row r="69" spans="1:11" x14ac:dyDescent="0.25">
      <c r="A69" s="1"/>
    </row>
    <row r="70" spans="1:11" x14ac:dyDescent="0.25">
      <c r="A70" s="1"/>
    </row>
    <row r="71" spans="1:11" x14ac:dyDescent="0.25">
      <c r="A71" s="1"/>
    </row>
    <row r="72" spans="1:11" x14ac:dyDescent="0.25">
      <c r="A72" s="1"/>
    </row>
    <row r="73" spans="1:11" x14ac:dyDescent="0.25">
      <c r="A73" s="1"/>
    </row>
    <row r="74" spans="1:11" x14ac:dyDescent="0.25">
      <c r="A74" s="1"/>
    </row>
    <row r="75" spans="1:11" x14ac:dyDescent="0.25">
      <c r="A75" s="1"/>
    </row>
    <row r="76" spans="1:11" x14ac:dyDescent="0.25">
      <c r="A76" s="1"/>
    </row>
    <row r="77" spans="1:11" x14ac:dyDescent="0.25">
      <c r="A77" s="1"/>
    </row>
    <row r="78" spans="1:11" x14ac:dyDescent="0.25">
      <c r="A78" s="1"/>
      <c r="D78" s="171"/>
      <c r="E78" s="171"/>
      <c r="F78" s="171"/>
      <c r="G78" s="171"/>
      <c r="H78" s="171"/>
      <c r="I78" s="171"/>
      <c r="J78" s="171"/>
      <c r="K78" s="171"/>
    </row>
    <row r="79" spans="1:11" x14ac:dyDescent="0.25">
      <c r="A79" s="1"/>
    </row>
    <row r="80" spans="1:1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2" x14ac:dyDescent="0.25">
      <c r="A113" s="1"/>
    </row>
    <row r="114" spans="1:12" x14ac:dyDescent="0.25">
      <c r="A114" s="1"/>
    </row>
    <row r="115" spans="1:12" x14ac:dyDescent="0.25">
      <c r="A115" s="1"/>
    </row>
    <row r="116" spans="1:12" x14ac:dyDescent="0.25">
      <c r="A116" s="1"/>
    </row>
    <row r="117" spans="1:12" x14ac:dyDescent="0.25">
      <c r="A117" s="1"/>
    </row>
    <row r="118" spans="1:12" x14ac:dyDescent="0.25">
      <c r="A118" s="1"/>
    </row>
    <row r="119" spans="1:12" x14ac:dyDescent="0.25">
      <c r="A119" s="1"/>
    </row>
    <row r="120" spans="1:12" x14ac:dyDescent="0.25">
      <c r="A120" s="1"/>
      <c r="L120" s="172"/>
    </row>
  </sheetData>
  <pageMargins left="0.7" right="0.7" top="0.75" bottom="0.75" header="0.3" footer="0.3"/>
  <pageSetup paperSize="121" fitToWidth="0" fitToHeight="6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13D8F-E678-4A3A-BA6C-A5E5772764C3}">
  <dimension ref="B1:K26"/>
  <sheetViews>
    <sheetView zoomScale="83" zoomScaleNormal="130" workbookViewId="0"/>
  </sheetViews>
  <sheetFormatPr defaultRowHeight="15" x14ac:dyDescent="0.25"/>
  <cols>
    <col min="1" max="1" width="2" customWidth="1"/>
    <col min="2" max="2" width="63.42578125" customWidth="1"/>
  </cols>
  <sheetData>
    <row r="1" spans="2:11" x14ac:dyDescent="0.25">
      <c r="B1" s="92"/>
      <c r="C1" s="14"/>
      <c r="D1" s="14"/>
      <c r="E1" s="14"/>
      <c r="F1" s="14"/>
      <c r="G1" s="14"/>
      <c r="H1" s="14"/>
      <c r="I1" s="14"/>
      <c r="J1" s="14"/>
      <c r="K1" s="166"/>
    </row>
    <row r="2" spans="2:11" x14ac:dyDescent="0.25">
      <c r="B2" s="92"/>
      <c r="C2" s="14"/>
      <c r="D2" s="14"/>
      <c r="E2" s="14"/>
      <c r="F2" s="14"/>
      <c r="G2" s="14"/>
      <c r="H2" s="14"/>
      <c r="I2" s="14"/>
      <c r="J2" s="14"/>
      <c r="K2" s="166"/>
    </row>
    <row r="3" spans="2:11" x14ac:dyDescent="0.25">
      <c r="B3" s="94" t="s">
        <v>149</v>
      </c>
      <c r="C3" s="14"/>
      <c r="D3" s="14"/>
      <c r="E3" s="14"/>
      <c r="F3" s="14"/>
      <c r="G3" s="77" t="s">
        <v>55</v>
      </c>
      <c r="H3" s="78"/>
      <c r="I3" s="78"/>
      <c r="J3" s="78"/>
      <c r="K3" s="79"/>
    </row>
    <row r="4" spans="2:11" x14ac:dyDescent="0.25">
      <c r="B4" s="97" t="s">
        <v>2</v>
      </c>
      <c r="C4" s="131"/>
      <c r="D4" s="69" t="s">
        <v>3</v>
      </c>
      <c r="E4" s="190">
        <v>45657</v>
      </c>
      <c r="F4" s="191">
        <f>EOMONTH(E4,12)</f>
        <v>46022</v>
      </c>
      <c r="G4" s="192">
        <f>EOMONTH(F4,12)</f>
        <v>46387</v>
      </c>
      <c r="H4" s="192">
        <f t="shared" ref="H4:K4" si="0">EOMONTH(G4,12)</f>
        <v>46752</v>
      </c>
      <c r="I4" s="192">
        <f t="shared" si="0"/>
        <v>47118</v>
      </c>
      <c r="J4" s="192">
        <f t="shared" si="0"/>
        <v>47483</v>
      </c>
      <c r="K4" s="193">
        <f t="shared" si="0"/>
        <v>47848</v>
      </c>
    </row>
    <row r="5" spans="2:11" x14ac:dyDescent="0.25">
      <c r="B5" s="167"/>
      <c r="C5" s="130"/>
      <c r="D5" s="69" t="s">
        <v>4</v>
      </c>
      <c r="E5" s="19" t="s">
        <v>177</v>
      </c>
      <c r="F5" s="19" t="s">
        <v>177</v>
      </c>
      <c r="G5" s="19" t="s">
        <v>177</v>
      </c>
      <c r="H5" s="19" t="s">
        <v>177</v>
      </c>
      <c r="I5" s="19" t="s">
        <v>177</v>
      </c>
      <c r="J5" s="19" t="s">
        <v>177</v>
      </c>
      <c r="K5" s="19" t="s">
        <v>177</v>
      </c>
    </row>
    <row r="6" spans="2:11" x14ac:dyDescent="0.25">
      <c r="B6" s="93" t="s">
        <v>181</v>
      </c>
      <c r="C6" s="1"/>
      <c r="D6" s="101"/>
      <c r="E6" s="1"/>
      <c r="F6" s="17"/>
      <c r="G6" s="1"/>
      <c r="H6" s="101"/>
      <c r="I6" s="101"/>
      <c r="J6" s="101"/>
      <c r="K6" s="124"/>
    </row>
    <row r="7" spans="2:11" x14ac:dyDescent="0.25">
      <c r="B7" s="217" t="s">
        <v>113</v>
      </c>
      <c r="C7" s="1"/>
      <c r="D7" s="101"/>
      <c r="E7" s="181">
        <f>'Cash flows'!E27</f>
        <v>1086</v>
      </c>
      <c r="F7" s="195">
        <f>'Cash flows'!F27</f>
        <v>775</v>
      </c>
      <c r="G7" s="181">
        <f t="shared" ref="G7:K9" si="1">AVERAGE(E7:F7)</f>
        <v>930.5</v>
      </c>
      <c r="H7" s="181">
        <f t="shared" si="1"/>
        <v>852.75</v>
      </c>
      <c r="I7" s="181">
        <f t="shared" si="1"/>
        <v>891.625</v>
      </c>
      <c r="J7" s="181">
        <f t="shared" si="1"/>
        <v>872.1875</v>
      </c>
      <c r="K7" s="185">
        <f t="shared" si="1"/>
        <v>881.90625</v>
      </c>
    </row>
    <row r="8" spans="2:11" x14ac:dyDescent="0.25">
      <c r="B8" s="217" t="s">
        <v>114</v>
      </c>
      <c r="C8" s="1"/>
      <c r="D8" s="101"/>
      <c r="E8" s="181">
        <v>2383</v>
      </c>
      <c r="F8" s="195">
        <v>2466</v>
      </c>
      <c r="G8" s="181">
        <f t="shared" si="1"/>
        <v>2424.5</v>
      </c>
      <c r="H8" s="181">
        <f t="shared" si="1"/>
        <v>2445.25</v>
      </c>
      <c r="I8" s="181">
        <f t="shared" si="1"/>
        <v>2434.875</v>
      </c>
      <c r="J8" s="181">
        <f t="shared" si="1"/>
        <v>2440.0625</v>
      </c>
      <c r="K8" s="185">
        <f t="shared" si="1"/>
        <v>2437.46875</v>
      </c>
    </row>
    <row r="9" spans="2:11" x14ac:dyDescent="0.25">
      <c r="B9" s="217" t="s">
        <v>178</v>
      </c>
      <c r="C9" s="1"/>
      <c r="D9" s="101"/>
      <c r="E9" s="181">
        <f>SUM('Raw financials'!C76,'Raw financials'!C77)</f>
        <v>1130</v>
      </c>
      <c r="F9" s="195">
        <f>SUM('Raw financials'!D76,'Raw financials'!D77)</f>
        <v>924</v>
      </c>
      <c r="G9" s="181">
        <f t="shared" si="1"/>
        <v>1027</v>
      </c>
      <c r="H9" s="181">
        <f t="shared" si="1"/>
        <v>975.5</v>
      </c>
      <c r="I9" s="181">
        <f t="shared" si="1"/>
        <v>1001.25</v>
      </c>
      <c r="J9" s="181">
        <f t="shared" si="1"/>
        <v>988.375</v>
      </c>
      <c r="K9" s="185">
        <f t="shared" si="1"/>
        <v>994.8125</v>
      </c>
    </row>
    <row r="10" spans="2:11" x14ac:dyDescent="0.25">
      <c r="B10" s="218" t="s">
        <v>179</v>
      </c>
      <c r="C10" s="1"/>
      <c r="D10" s="101"/>
      <c r="E10" s="181">
        <f>'Raw financials'!C88</f>
        <v>25295</v>
      </c>
      <c r="F10" s="195">
        <f>'Raw financials'!D88</f>
        <v>28241</v>
      </c>
      <c r="G10" s="181">
        <f>AVERAGE(E10:F10)</f>
        <v>26768</v>
      </c>
      <c r="H10" s="181">
        <f t="shared" ref="H10:K10" si="2">AVERAGE(F10:G10)</f>
        <v>27504.5</v>
      </c>
      <c r="I10" s="181">
        <f t="shared" si="2"/>
        <v>27136.25</v>
      </c>
      <c r="J10" s="181">
        <f t="shared" si="2"/>
        <v>27320.375</v>
      </c>
      <c r="K10" s="185">
        <f t="shared" si="2"/>
        <v>27228.3125</v>
      </c>
    </row>
    <row r="11" spans="2:11" x14ac:dyDescent="0.25">
      <c r="B11" s="217" t="s">
        <v>180</v>
      </c>
      <c r="C11" s="1"/>
      <c r="D11" s="101"/>
      <c r="E11" s="181">
        <f>SUM('Raw financials'!C84)</f>
        <v>13339</v>
      </c>
      <c r="F11" s="195">
        <f>SUM('Raw financials'!D84)</f>
        <v>14606</v>
      </c>
      <c r="G11" s="181">
        <f t="shared" ref="G11:K12" si="3">AVERAGE(E11:F11)</f>
        <v>13972.5</v>
      </c>
      <c r="H11" s="181">
        <f t="shared" si="3"/>
        <v>14289.25</v>
      </c>
      <c r="I11" s="181">
        <f t="shared" si="3"/>
        <v>14130.875</v>
      </c>
      <c r="J11" s="181">
        <f t="shared" si="3"/>
        <v>14210.0625</v>
      </c>
      <c r="K11" s="185">
        <f t="shared" si="3"/>
        <v>14170.46875</v>
      </c>
    </row>
    <row r="12" spans="2:11" x14ac:dyDescent="0.25">
      <c r="B12" s="217" t="s">
        <v>118</v>
      </c>
      <c r="C12" s="1"/>
      <c r="D12" s="101"/>
      <c r="E12" s="181">
        <f>SUM('Raw financials'!C83)</f>
        <v>11950</v>
      </c>
      <c r="F12" s="195">
        <f>SUM('Raw financials'!D83)</f>
        <v>12505</v>
      </c>
      <c r="G12" s="181">
        <f t="shared" si="3"/>
        <v>12227.5</v>
      </c>
      <c r="H12" s="181">
        <f t="shared" si="3"/>
        <v>12366.25</v>
      </c>
      <c r="I12" s="181">
        <f t="shared" si="3"/>
        <v>12296.875</v>
      </c>
      <c r="J12" s="181">
        <f t="shared" si="3"/>
        <v>12331.5625</v>
      </c>
      <c r="K12" s="185">
        <f t="shared" si="3"/>
        <v>12314.21875</v>
      </c>
    </row>
    <row r="13" spans="2:11" ht="15.75" thickBot="1" x14ac:dyDescent="0.3">
      <c r="B13" s="125" t="s">
        <v>128</v>
      </c>
      <c r="C13" s="67"/>
      <c r="D13" s="127"/>
      <c r="E13" s="182">
        <f>SUM(E7:E12)</f>
        <v>55183</v>
      </c>
      <c r="F13" s="196">
        <f t="shared" ref="F13:K13" si="4">SUM(F7:F12)</f>
        <v>59517</v>
      </c>
      <c r="G13" s="182">
        <f t="shared" si="4"/>
        <v>57350</v>
      </c>
      <c r="H13" s="182">
        <f t="shared" si="4"/>
        <v>58433.5</v>
      </c>
      <c r="I13" s="182">
        <f t="shared" si="4"/>
        <v>57891.75</v>
      </c>
      <c r="J13" s="182">
        <f t="shared" si="4"/>
        <v>58162.625</v>
      </c>
      <c r="K13" s="194">
        <f t="shared" si="4"/>
        <v>58027.1875</v>
      </c>
    </row>
    <row r="14" spans="2:11" ht="15.75" thickTop="1" x14ac:dyDescent="0.25">
      <c r="B14" s="93" t="s">
        <v>185</v>
      </c>
      <c r="C14" s="1"/>
      <c r="D14" s="101"/>
      <c r="E14" s="181"/>
      <c r="F14" s="195"/>
      <c r="G14" s="181"/>
      <c r="H14" s="209"/>
      <c r="I14" s="209"/>
      <c r="J14" s="209"/>
      <c r="K14" s="210"/>
    </row>
    <row r="15" spans="2:11" x14ac:dyDescent="0.25">
      <c r="B15" s="217" t="s">
        <v>76</v>
      </c>
      <c r="C15" s="1"/>
      <c r="D15" s="101"/>
      <c r="E15" s="181">
        <f>'Raw financials'!C91</f>
        <v>1029</v>
      </c>
      <c r="F15" s="195">
        <f>'Raw financials'!D91</f>
        <v>1149</v>
      </c>
      <c r="G15" s="181">
        <f t="shared" ref="G15:K20" si="5">AVERAGE(E15:F15)</f>
        <v>1089</v>
      </c>
      <c r="H15" s="181">
        <f t="shared" si="5"/>
        <v>1119</v>
      </c>
      <c r="I15" s="181">
        <f t="shared" si="5"/>
        <v>1104</v>
      </c>
      <c r="J15" s="181">
        <f t="shared" si="5"/>
        <v>1111.5</v>
      </c>
      <c r="K15" s="185">
        <f t="shared" si="5"/>
        <v>1107.75</v>
      </c>
    </row>
    <row r="16" spans="2:11" x14ac:dyDescent="0.25">
      <c r="B16" s="217" t="s">
        <v>186</v>
      </c>
      <c r="C16" s="1"/>
      <c r="D16" s="101"/>
      <c r="E16" s="181">
        <f>SUM('Raw financials'!C93:C96)</f>
        <v>2196</v>
      </c>
      <c r="F16" s="195">
        <f>SUM('Raw financials'!D93:D96)</f>
        <v>2518</v>
      </c>
      <c r="G16" s="181">
        <f t="shared" si="5"/>
        <v>2357</v>
      </c>
      <c r="H16" s="181">
        <f t="shared" si="5"/>
        <v>2437.5</v>
      </c>
      <c r="I16" s="181">
        <f t="shared" si="5"/>
        <v>2397.25</v>
      </c>
      <c r="J16" s="181">
        <f t="shared" si="5"/>
        <v>2417.375</v>
      </c>
      <c r="K16" s="185">
        <f t="shared" si="5"/>
        <v>2407.3125</v>
      </c>
    </row>
    <row r="17" spans="2:11" x14ac:dyDescent="0.25">
      <c r="B17" s="217" t="s">
        <v>130</v>
      </c>
      <c r="C17" s="1"/>
      <c r="D17" s="181"/>
      <c r="E17" s="181">
        <f>'Raw financials'!C92</f>
        <v>636</v>
      </c>
      <c r="F17" s="195">
        <f>'Raw financials'!D92</f>
        <v>694</v>
      </c>
      <c r="G17" s="181">
        <f t="shared" si="5"/>
        <v>665</v>
      </c>
      <c r="H17" s="181">
        <f t="shared" si="5"/>
        <v>679.5</v>
      </c>
      <c r="I17" s="181">
        <f t="shared" si="5"/>
        <v>672.25</v>
      </c>
      <c r="J17" s="181">
        <f t="shared" si="5"/>
        <v>675.875</v>
      </c>
      <c r="K17" s="185">
        <f t="shared" si="5"/>
        <v>674.0625</v>
      </c>
    </row>
    <row r="18" spans="2:11" x14ac:dyDescent="0.25">
      <c r="B18" s="217" t="s">
        <v>187</v>
      </c>
      <c r="C18" s="1"/>
      <c r="D18" s="1"/>
      <c r="E18" s="181">
        <f>SUM('Raw financials'!C98,)</f>
        <v>38424</v>
      </c>
      <c r="F18" s="195">
        <f>SUM('Raw financials'!D98,)</f>
        <v>39973</v>
      </c>
      <c r="G18" s="181">
        <f t="shared" si="5"/>
        <v>39198.5</v>
      </c>
      <c r="H18" s="181">
        <f t="shared" si="5"/>
        <v>39585.75</v>
      </c>
      <c r="I18" s="181">
        <f t="shared" si="5"/>
        <v>39392.125</v>
      </c>
      <c r="J18" s="181">
        <f t="shared" si="5"/>
        <v>39488.9375</v>
      </c>
      <c r="K18" s="185">
        <f t="shared" si="5"/>
        <v>39440.53125</v>
      </c>
    </row>
    <row r="19" spans="2:11" x14ac:dyDescent="0.25">
      <c r="B19" s="217" t="s">
        <v>188</v>
      </c>
      <c r="C19" s="1"/>
      <c r="D19" s="1"/>
      <c r="E19" s="181">
        <f>SUM('Raw financials'!C99:C101,'Raw financials'!C103)</f>
        <v>15924</v>
      </c>
      <c r="F19" s="195">
        <f>SUM('Raw financials'!D99:D101,'Raw financials'!D103)</f>
        <v>16269</v>
      </c>
      <c r="G19" s="181">
        <f t="shared" si="5"/>
        <v>16096.5</v>
      </c>
      <c r="H19" s="181">
        <f t="shared" si="5"/>
        <v>16182.75</v>
      </c>
      <c r="I19" s="181">
        <f t="shared" si="5"/>
        <v>16139.625</v>
      </c>
      <c r="J19" s="181">
        <f t="shared" si="5"/>
        <v>16161.1875</v>
      </c>
      <c r="K19" s="185">
        <f t="shared" si="5"/>
        <v>16150.40625</v>
      </c>
    </row>
    <row r="20" spans="2:11" x14ac:dyDescent="0.25">
      <c r="B20" s="217" t="s">
        <v>189</v>
      </c>
      <c r="C20" s="1"/>
      <c r="D20" s="1"/>
      <c r="E20" s="181">
        <f>'Raw financials'!C102</f>
        <v>771</v>
      </c>
      <c r="F20" s="195">
        <f>'Raw financials'!D102</f>
        <v>704</v>
      </c>
      <c r="G20" s="181">
        <f t="shared" si="5"/>
        <v>737.5</v>
      </c>
      <c r="H20" s="181">
        <f t="shared" si="5"/>
        <v>720.75</v>
      </c>
      <c r="I20" s="181">
        <f t="shared" si="5"/>
        <v>729.125</v>
      </c>
      <c r="J20" s="181">
        <f t="shared" si="5"/>
        <v>724.9375</v>
      </c>
      <c r="K20" s="185">
        <f t="shared" si="5"/>
        <v>727.03125</v>
      </c>
    </row>
    <row r="21" spans="2:11" x14ac:dyDescent="0.25">
      <c r="B21" s="4" t="s">
        <v>190</v>
      </c>
      <c r="C21" s="5"/>
      <c r="D21" s="5"/>
      <c r="E21" s="211">
        <f t="shared" ref="E21:K21" si="6">SUM(E15:E20)</f>
        <v>58980</v>
      </c>
      <c r="F21" s="212">
        <f t="shared" si="6"/>
        <v>61307</v>
      </c>
      <c r="G21" s="211">
        <f t="shared" si="6"/>
        <v>60143.5</v>
      </c>
      <c r="H21" s="211">
        <f t="shared" si="6"/>
        <v>60725.25</v>
      </c>
      <c r="I21" s="211">
        <f t="shared" si="6"/>
        <v>60434.375</v>
      </c>
      <c r="J21" s="211">
        <f t="shared" si="6"/>
        <v>60579.8125</v>
      </c>
      <c r="K21" s="213">
        <f t="shared" si="6"/>
        <v>60507.09375</v>
      </c>
    </row>
    <row r="22" spans="2:11" x14ac:dyDescent="0.25">
      <c r="B22" s="93"/>
      <c r="C22" s="1"/>
      <c r="D22" s="1"/>
      <c r="E22" s="178"/>
      <c r="F22" s="179"/>
      <c r="G22" s="178"/>
      <c r="H22" s="178"/>
      <c r="I22" s="178"/>
      <c r="J22" s="178"/>
      <c r="K22" s="188"/>
    </row>
    <row r="23" spans="2:11" x14ac:dyDescent="0.25">
      <c r="B23" s="217" t="s">
        <v>191</v>
      </c>
      <c r="C23" s="1"/>
      <c r="D23" s="1"/>
      <c r="E23" s="181">
        <f>'Raw financials'!C111</f>
        <v>-3797</v>
      </c>
      <c r="F23" s="195">
        <f>'Raw financials'!D111</f>
        <v>-1791</v>
      </c>
      <c r="G23" s="181">
        <f t="shared" ref="G23:K23" si="7">AVERAGE(E23:F23)</f>
        <v>-2794</v>
      </c>
      <c r="H23" s="181">
        <f t="shared" si="7"/>
        <v>-2292.5</v>
      </c>
      <c r="I23" s="181">
        <f t="shared" si="7"/>
        <v>-2543.25</v>
      </c>
      <c r="J23" s="181">
        <f t="shared" si="7"/>
        <v>-2417.875</v>
      </c>
      <c r="K23" s="185">
        <f t="shared" si="7"/>
        <v>-2480.5625</v>
      </c>
    </row>
    <row r="24" spans="2:11" x14ac:dyDescent="0.25">
      <c r="B24" s="2" t="s">
        <v>148</v>
      </c>
      <c r="C24" s="3"/>
      <c r="D24" s="3"/>
      <c r="E24" s="214">
        <f>SUM(E21:E23)</f>
        <v>55183</v>
      </c>
      <c r="F24" s="215">
        <f>SUM(F21:F23)</f>
        <v>59516</v>
      </c>
      <c r="G24" s="214">
        <f t="shared" ref="G24:K24" si="8">SUM(G21:G23)</f>
        <v>57349.5</v>
      </c>
      <c r="H24" s="214">
        <f t="shared" si="8"/>
        <v>58432.75</v>
      </c>
      <c r="I24" s="214">
        <f t="shared" si="8"/>
        <v>57891.125</v>
      </c>
      <c r="J24" s="214">
        <f t="shared" si="8"/>
        <v>58161.9375</v>
      </c>
      <c r="K24" s="216">
        <f t="shared" si="8"/>
        <v>58026.53125</v>
      </c>
    </row>
    <row r="26" spans="2:11" x14ac:dyDescent="0.25">
      <c r="E26" s="219"/>
      <c r="F26" s="219"/>
      <c r="G26" s="219"/>
      <c r="H26" s="219"/>
      <c r="I26" s="219"/>
      <c r="J26" s="219"/>
      <c r="K26" s="219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C16E9-1898-46D2-83AE-A63D5650C87F}">
  <dimension ref="B1:K31"/>
  <sheetViews>
    <sheetView zoomScale="89" workbookViewId="0"/>
  </sheetViews>
  <sheetFormatPr defaultRowHeight="15" x14ac:dyDescent="0.25"/>
  <cols>
    <col min="1" max="1" width="2" customWidth="1"/>
    <col min="2" max="2" width="46.28515625" bestFit="1" customWidth="1"/>
    <col min="3" max="3" width="5.7109375" bestFit="1" customWidth="1"/>
    <col min="4" max="5" width="8" bestFit="1" customWidth="1"/>
    <col min="6" max="11" width="8.42578125" bestFit="1" customWidth="1"/>
  </cols>
  <sheetData>
    <row r="1" spans="2:11" x14ac:dyDescent="0.25">
      <c r="B1" s="92"/>
      <c r="C1" s="14"/>
      <c r="D1" s="14"/>
      <c r="E1" s="14"/>
      <c r="F1" s="14"/>
      <c r="G1" s="14"/>
      <c r="H1" s="14"/>
      <c r="I1" s="14"/>
      <c r="J1" s="14"/>
      <c r="K1" s="15"/>
    </row>
    <row r="2" spans="2:11" x14ac:dyDescent="0.25">
      <c r="B2" s="92"/>
      <c r="C2" s="14"/>
      <c r="D2" s="14"/>
      <c r="E2" s="14"/>
      <c r="F2" s="14"/>
      <c r="G2" s="14"/>
      <c r="H2" s="14"/>
      <c r="I2" s="14"/>
      <c r="J2" s="14"/>
      <c r="K2" s="15"/>
    </row>
    <row r="3" spans="2:11" x14ac:dyDescent="0.25">
      <c r="B3" s="94" t="s">
        <v>105</v>
      </c>
      <c r="C3" s="14"/>
      <c r="D3" s="14"/>
      <c r="E3" s="14"/>
      <c r="F3" s="14"/>
      <c r="G3" s="77" t="s">
        <v>55</v>
      </c>
      <c r="H3" s="78"/>
      <c r="I3" s="78"/>
      <c r="J3" s="78"/>
      <c r="K3" s="236"/>
    </row>
    <row r="4" spans="2:11" x14ac:dyDescent="0.25">
      <c r="B4" s="97" t="s">
        <v>2</v>
      </c>
      <c r="C4" s="95" t="s">
        <v>3</v>
      </c>
      <c r="D4" s="190">
        <v>45291</v>
      </c>
      <c r="E4" s="190">
        <f>EOMONTH(D4,12)</f>
        <v>45657</v>
      </c>
      <c r="F4" s="191">
        <f>EOMONTH(E4,12)</f>
        <v>46022</v>
      </c>
      <c r="G4" s="192">
        <f>EOMONTH(F4,12)</f>
        <v>46387</v>
      </c>
      <c r="H4" s="192">
        <f t="shared" ref="H4:K4" si="0">EOMONTH(G4,12)</f>
        <v>46752</v>
      </c>
      <c r="I4" s="192">
        <f t="shared" si="0"/>
        <v>47118</v>
      </c>
      <c r="J4" s="192">
        <f t="shared" si="0"/>
        <v>47483</v>
      </c>
      <c r="K4" s="193">
        <f t="shared" si="0"/>
        <v>47848</v>
      </c>
    </row>
    <row r="5" spans="2:11" x14ac:dyDescent="0.25">
      <c r="B5" s="167"/>
      <c r="C5" s="69" t="s">
        <v>4</v>
      </c>
      <c r="D5" s="19"/>
      <c r="E5" s="19"/>
      <c r="F5" s="121"/>
      <c r="G5" s="122"/>
      <c r="H5" s="122"/>
      <c r="I5" s="122"/>
      <c r="J5" s="122"/>
      <c r="K5" s="123"/>
    </row>
    <row r="6" spans="2:11" x14ac:dyDescent="0.25">
      <c r="B6" s="120" t="s">
        <v>107</v>
      </c>
      <c r="C6" s="168"/>
      <c r="D6" s="63"/>
      <c r="E6" s="63"/>
      <c r="F6" s="64"/>
      <c r="G6" s="83"/>
      <c r="H6" s="83"/>
      <c r="I6" s="83"/>
      <c r="J6" s="83"/>
      <c r="K6" s="84"/>
    </row>
    <row r="7" spans="2:11" x14ac:dyDescent="0.25">
      <c r="B7" s="218" t="s">
        <v>10</v>
      </c>
      <c r="C7" s="1"/>
      <c r="D7" s="209">
        <f>'Income Statement'!D20</f>
        <v>8469</v>
      </c>
      <c r="E7" s="209">
        <f>'Income Statement'!E20</f>
        <v>8224</v>
      </c>
      <c r="F7" s="231">
        <f>'Income Statement'!F20</f>
        <v>8563</v>
      </c>
      <c r="G7" s="209">
        <f>'Income Statement'!G20</f>
        <v>8702.9192442962758</v>
      </c>
      <c r="H7" s="209">
        <f>'Income Statement'!H20</f>
        <v>8892.9701576999905</v>
      </c>
      <c r="I7" s="209">
        <f>'Income Statement'!I20</f>
        <v>9151.8241244019373</v>
      </c>
      <c r="J7" s="209">
        <f>'Income Statement'!J20</f>
        <v>9365.3004503685679</v>
      </c>
      <c r="K7" s="210">
        <f>'Income Statement'!K20</f>
        <v>9597.1054962438229</v>
      </c>
    </row>
    <row r="8" spans="2:11" x14ac:dyDescent="0.25">
      <c r="B8" s="218" t="s">
        <v>65</v>
      </c>
      <c r="C8" s="1"/>
      <c r="D8" s="209">
        <f>'Raw financials'!B35</f>
        <v>1978</v>
      </c>
      <c r="E8" s="209">
        <f>'Raw financials'!C35</f>
        <v>2097</v>
      </c>
      <c r="F8" s="231">
        <f>'Raw financials'!D35</f>
        <v>2199</v>
      </c>
      <c r="G8" s="209">
        <f>'Income Statement'!G30*'Income Statement'!G10</f>
        <v>2207.164799482367</v>
      </c>
      <c r="H8" s="209">
        <f>'Income Statement'!H30*'Income Statement'!H10</f>
        <v>2290.5899725944264</v>
      </c>
      <c r="I8" s="209">
        <f>'Income Statement'!I30*'Income Statement'!I10</f>
        <v>2376.8069263624116</v>
      </c>
      <c r="J8" s="209">
        <f>'Income Statement'!J30*'Income Statement'!J10</f>
        <v>2465.9031090859248</v>
      </c>
      <c r="K8" s="210">
        <f>'Income Statement'!K30*'Income Statement'!K10</f>
        <v>2557.9685966166371</v>
      </c>
    </row>
    <row r="9" spans="2:11" x14ac:dyDescent="0.25">
      <c r="B9" s="217" t="s">
        <v>193</v>
      </c>
      <c r="C9" s="1"/>
      <c r="D9" s="181">
        <f>SUM('Raw financials'!B36:B39)</f>
        <v>-727</v>
      </c>
      <c r="E9" s="181">
        <f>SUM('Raw financials'!C36:C39)</f>
        <v>-436</v>
      </c>
      <c r="F9" s="195">
        <f>SUM('Raw financials'!D36:D39)</f>
        <v>-317</v>
      </c>
      <c r="G9" s="209">
        <f>AVERAGE(D9:F9)</f>
        <v>-493.33333333333331</v>
      </c>
      <c r="H9" s="209">
        <v>-105.66666666666667</v>
      </c>
      <c r="I9" s="209">
        <v>-105.66666666666667</v>
      </c>
      <c r="J9" s="209">
        <v>-105.66666666666667</v>
      </c>
      <c r="K9" s="210">
        <v>-105.66666666666667</v>
      </c>
    </row>
    <row r="10" spans="2:11" x14ac:dyDescent="0.25">
      <c r="B10" s="218" t="s">
        <v>73</v>
      </c>
      <c r="C10" s="1"/>
      <c r="D10" s="181">
        <f>SUM('Raw financials'!B41:B45)</f>
        <v>-108</v>
      </c>
      <c r="E10" s="181">
        <f>SUM('Raw financials'!C41:C45)</f>
        <v>-438</v>
      </c>
      <c r="F10" s="195">
        <f>SUM('Raw financials'!D41:D45)</f>
        <v>106</v>
      </c>
      <c r="G10" s="209">
        <f>AVERAGE(D10:F10)</f>
        <v>-146.66666666666666</v>
      </c>
      <c r="H10" s="209">
        <f t="shared" ref="H10:K10" si="1">AVERAGE(E10:G10)</f>
        <v>-159.55555555555554</v>
      </c>
      <c r="I10" s="209">
        <f t="shared" si="1"/>
        <v>-66.740740740740733</v>
      </c>
      <c r="J10" s="209">
        <f t="shared" si="1"/>
        <v>-124.32098765432097</v>
      </c>
      <c r="K10" s="235">
        <f t="shared" si="1"/>
        <v>-116.87242798353908</v>
      </c>
    </row>
    <row r="11" spans="2:11" ht="15.75" thickBot="1" x14ac:dyDescent="0.3">
      <c r="B11" s="125" t="s">
        <v>79</v>
      </c>
      <c r="C11" s="67"/>
      <c r="D11" s="182">
        <f t="shared" ref="D11:K11" si="2">SUM(D7:D10)</f>
        <v>9612</v>
      </c>
      <c r="E11" s="182">
        <f t="shared" si="2"/>
        <v>9447</v>
      </c>
      <c r="F11" s="196">
        <f t="shared" si="2"/>
        <v>10551</v>
      </c>
      <c r="G11" s="182">
        <f t="shared" si="2"/>
        <v>10270.084043778643</v>
      </c>
      <c r="H11" s="182">
        <f t="shared" si="2"/>
        <v>10918.337908072195</v>
      </c>
      <c r="I11" s="182">
        <f t="shared" si="2"/>
        <v>11356.223643356941</v>
      </c>
      <c r="J11" s="182">
        <f t="shared" si="2"/>
        <v>11601.215905133506</v>
      </c>
      <c r="K11" s="194">
        <f t="shared" si="2"/>
        <v>11932.534998210256</v>
      </c>
    </row>
    <row r="12" spans="2:11" ht="15.75" thickTop="1" x14ac:dyDescent="0.25">
      <c r="B12" s="126" t="s">
        <v>110</v>
      </c>
      <c r="C12" s="1"/>
      <c r="D12" s="181"/>
      <c r="E12" s="181"/>
      <c r="F12" s="195"/>
      <c r="G12" s="209"/>
      <c r="H12" s="209"/>
      <c r="I12" s="209"/>
      <c r="J12" s="209"/>
      <c r="K12" s="232"/>
    </row>
    <row r="13" spans="2:11" x14ac:dyDescent="0.25">
      <c r="B13" s="217" t="s">
        <v>81</v>
      </c>
      <c r="C13" s="1"/>
      <c r="D13" s="181">
        <v>-2357</v>
      </c>
      <c r="E13" s="181">
        <v>-2775</v>
      </c>
      <c r="F13" s="195">
        <v>-3365</v>
      </c>
      <c r="G13" s="209">
        <v>-3700</v>
      </c>
      <c r="H13" s="209">
        <f>G13-300</f>
        <v>-4000</v>
      </c>
      <c r="I13" s="209">
        <f t="shared" ref="I13:K13" si="3">H13-300</f>
        <v>-4300</v>
      </c>
      <c r="J13" s="209">
        <f t="shared" si="3"/>
        <v>-4600</v>
      </c>
      <c r="K13" s="210">
        <f t="shared" si="3"/>
        <v>-4900</v>
      </c>
    </row>
    <row r="14" spans="2:11" x14ac:dyDescent="0.25">
      <c r="B14" s="217" t="s">
        <v>194</v>
      </c>
      <c r="C14" s="1"/>
      <c r="D14" s="181">
        <f>SUM('Raw financials'!B49:B53)</f>
        <v>-827</v>
      </c>
      <c r="E14" s="181">
        <f>SUM('Raw financials'!C49:C53)</f>
        <v>-2571</v>
      </c>
      <c r="F14" s="195">
        <f>SUM('Raw financials'!D49:D53)</f>
        <v>-457</v>
      </c>
      <c r="G14" s="209">
        <f>AVERAGE(D14:F14)</f>
        <v>-1285</v>
      </c>
      <c r="H14" s="209">
        <f>AVERAGE(E14:G14)</f>
        <v>-1437.6666666666667</v>
      </c>
      <c r="I14" s="209">
        <f>AVERAGE(F14:H14)</f>
        <v>-1059.8888888888889</v>
      </c>
      <c r="J14" s="209">
        <f>AVERAGE(G14:I14)</f>
        <v>-1260.851851851852</v>
      </c>
      <c r="K14" s="210">
        <f>AVERAGE(H14:J14)</f>
        <v>-1252.8024691358025</v>
      </c>
    </row>
    <row r="15" spans="2:11" ht="15.75" thickBot="1" x14ac:dyDescent="0.3">
      <c r="B15" s="125" t="s">
        <v>86</v>
      </c>
      <c r="C15" s="128"/>
      <c r="D15" s="182">
        <f t="shared" ref="D15:K15" si="4">SUM(D13:D14)</f>
        <v>-3184</v>
      </c>
      <c r="E15" s="182">
        <f t="shared" si="4"/>
        <v>-5346</v>
      </c>
      <c r="F15" s="196">
        <f t="shared" si="4"/>
        <v>-3822</v>
      </c>
      <c r="G15" s="182">
        <f t="shared" si="4"/>
        <v>-4985</v>
      </c>
      <c r="H15" s="182">
        <f t="shared" si="4"/>
        <v>-5437.666666666667</v>
      </c>
      <c r="I15" s="182">
        <f t="shared" si="4"/>
        <v>-5359.8888888888887</v>
      </c>
      <c r="J15" s="182">
        <f t="shared" si="4"/>
        <v>-5860.8518518518522</v>
      </c>
      <c r="K15" s="194">
        <f t="shared" si="4"/>
        <v>-6152.8024691358023</v>
      </c>
    </row>
    <row r="16" spans="2:11" ht="15.75" thickTop="1" x14ac:dyDescent="0.25">
      <c r="B16" s="126" t="s">
        <v>87</v>
      </c>
      <c r="C16" s="1"/>
      <c r="D16" s="181"/>
      <c r="E16" s="181"/>
      <c r="F16" s="195"/>
      <c r="G16" s="209"/>
      <c r="H16" s="209"/>
      <c r="I16" s="209"/>
      <c r="J16" s="209"/>
      <c r="K16" s="210"/>
    </row>
    <row r="17" spans="2:11" x14ac:dyDescent="0.25">
      <c r="B17" s="217" t="s">
        <v>88</v>
      </c>
      <c r="C17" s="1"/>
      <c r="D17" s="181">
        <v>213</v>
      </c>
      <c r="E17" s="181">
        <v>326</v>
      </c>
      <c r="F17" s="195">
        <v>6</v>
      </c>
      <c r="G17" s="209">
        <v>50</v>
      </c>
      <c r="H17" s="209">
        <v>50</v>
      </c>
      <c r="I17" s="209">
        <v>50</v>
      </c>
      <c r="J17" s="209">
        <v>50</v>
      </c>
      <c r="K17" s="210">
        <v>50</v>
      </c>
    </row>
    <row r="18" spans="2:11" x14ac:dyDescent="0.25">
      <c r="B18" s="217" t="s">
        <v>195</v>
      </c>
      <c r="C18" s="1"/>
      <c r="D18" s="181">
        <f>SUM('Raw financials'!B57:B58)</f>
        <v>2780</v>
      </c>
      <c r="E18" s="181">
        <f>SUM('Raw financials'!C57:C58)</f>
        <v>-397</v>
      </c>
      <c r="F18" s="195">
        <f>SUM('Raw financials'!D57:D58)</f>
        <v>-78</v>
      </c>
      <c r="G18" s="209">
        <f t="shared" ref="G18:K21" si="5">AVERAGE(D18:F18)</f>
        <v>768.33333333333337</v>
      </c>
      <c r="H18" s="209">
        <f t="shared" si="5"/>
        <v>97.777777777777786</v>
      </c>
      <c r="I18" s="209">
        <f t="shared" si="5"/>
        <v>262.70370370370375</v>
      </c>
      <c r="J18" s="209">
        <f t="shared" si="5"/>
        <v>376.27160493827165</v>
      </c>
      <c r="K18" s="210">
        <f t="shared" si="5"/>
        <v>245.58436213991772</v>
      </c>
    </row>
    <row r="19" spans="2:11" x14ac:dyDescent="0.25">
      <c r="B19" s="217" t="s">
        <v>91</v>
      </c>
      <c r="C19" s="1"/>
      <c r="D19" s="181">
        <v>-3054</v>
      </c>
      <c r="E19" s="181">
        <v>-2824</v>
      </c>
      <c r="F19" s="195">
        <v>-2056</v>
      </c>
      <c r="G19" s="209">
        <f t="shared" si="5"/>
        <v>-2644.6666666666665</v>
      </c>
      <c r="H19" s="209">
        <f t="shared" si="5"/>
        <v>-2508.2222222222222</v>
      </c>
      <c r="I19" s="209">
        <f t="shared" si="5"/>
        <v>-2402.962962962963</v>
      </c>
      <c r="J19" s="209">
        <f t="shared" si="5"/>
        <v>-2518.6172839506175</v>
      </c>
      <c r="K19" s="210">
        <f t="shared" si="5"/>
        <v>-2476.6008230452676</v>
      </c>
    </row>
    <row r="20" spans="2:11" x14ac:dyDescent="0.25">
      <c r="B20" s="217" t="s">
        <v>92</v>
      </c>
      <c r="C20" s="1"/>
      <c r="D20" s="181">
        <v>-4533</v>
      </c>
      <c r="E20" s="181">
        <v>-4870</v>
      </c>
      <c r="F20" s="195">
        <v>-5115</v>
      </c>
      <c r="G20" s="209">
        <f t="shared" si="5"/>
        <v>-4839.333333333333</v>
      </c>
      <c r="H20" s="209">
        <f t="shared" si="5"/>
        <v>-4941.4444444444443</v>
      </c>
      <c r="I20" s="209">
        <f t="shared" si="5"/>
        <v>-4965.2592592592591</v>
      </c>
      <c r="J20" s="209">
        <f t="shared" si="5"/>
        <v>-4915.3456790123455</v>
      </c>
      <c r="K20" s="210">
        <f t="shared" si="5"/>
        <v>-4940.6831275720169</v>
      </c>
    </row>
    <row r="21" spans="2:11" x14ac:dyDescent="0.25">
      <c r="B21" s="217" t="s">
        <v>196</v>
      </c>
      <c r="C21" s="1"/>
      <c r="D21" s="181">
        <f>SUM('Raw financials'!B61:B62)</f>
        <v>220</v>
      </c>
      <c r="E21" s="181">
        <f>SUM('Raw financials'!C61:C62)</f>
        <v>272</v>
      </c>
      <c r="F21" s="195">
        <f>SUM('Raw financials'!D61:D62)</f>
        <v>118</v>
      </c>
      <c r="G21" s="209">
        <f t="shared" si="5"/>
        <v>203.33333333333334</v>
      </c>
      <c r="H21" s="209">
        <f t="shared" si="5"/>
        <v>197.7777777777778</v>
      </c>
      <c r="I21" s="209">
        <f t="shared" si="5"/>
        <v>173.03703703703707</v>
      </c>
      <c r="J21" s="209">
        <f t="shared" si="5"/>
        <v>191.38271604938276</v>
      </c>
      <c r="K21" s="210">
        <f t="shared" si="5"/>
        <v>187.39917695473255</v>
      </c>
    </row>
    <row r="22" spans="2:11" ht="15.75" thickBot="1" x14ac:dyDescent="0.3">
      <c r="B22" s="125" t="s">
        <v>94</v>
      </c>
      <c r="C22" s="128"/>
      <c r="D22" s="182">
        <f t="shared" ref="D22:K22" si="6">SUM(D17:D21)</f>
        <v>-4374</v>
      </c>
      <c r="E22" s="182">
        <f t="shared" si="6"/>
        <v>-7493</v>
      </c>
      <c r="F22" s="196">
        <f t="shared" si="6"/>
        <v>-7125</v>
      </c>
      <c r="G22" s="182">
        <f t="shared" si="6"/>
        <v>-6462.333333333333</v>
      </c>
      <c r="H22" s="182">
        <f t="shared" si="6"/>
        <v>-7104.1111111111113</v>
      </c>
      <c r="I22" s="182">
        <f t="shared" si="6"/>
        <v>-6882.4814814814808</v>
      </c>
      <c r="J22" s="182">
        <f t="shared" si="6"/>
        <v>-6816.3086419753081</v>
      </c>
      <c r="K22" s="194">
        <f t="shared" si="6"/>
        <v>-6934.300411522634</v>
      </c>
    </row>
    <row r="23" spans="2:11" ht="15.75" thickTop="1" x14ac:dyDescent="0.25">
      <c r="B23" s="93"/>
      <c r="C23" s="230"/>
      <c r="D23" s="178"/>
      <c r="E23" s="178"/>
      <c r="F23" s="179"/>
      <c r="G23" s="178"/>
      <c r="H23" s="178"/>
      <c r="I23" s="178"/>
      <c r="J23" s="178"/>
      <c r="K23" s="188"/>
    </row>
    <row r="24" spans="2:11" x14ac:dyDescent="0.25">
      <c r="B24" s="217" t="s">
        <v>95</v>
      </c>
      <c r="C24" s="1"/>
      <c r="D24" s="181">
        <f>'Raw financials'!B64</f>
        <v>-58</v>
      </c>
      <c r="E24" s="181">
        <f>'Raw financials'!C64</f>
        <v>-101</v>
      </c>
      <c r="F24" s="195">
        <f>'Raw financials'!D64</f>
        <v>86</v>
      </c>
      <c r="G24" s="209">
        <f t="shared" ref="G24:K27" si="7">AVERAGE(D24:F24)</f>
        <v>-24.333333333333332</v>
      </c>
      <c r="H24" s="209">
        <f t="shared" si="7"/>
        <v>-13.111111111111109</v>
      </c>
      <c r="I24" s="209">
        <f t="shared" si="7"/>
        <v>16.185185185185187</v>
      </c>
      <c r="J24" s="209">
        <f t="shared" si="7"/>
        <v>-7.0864197530864184</v>
      </c>
      <c r="K24" s="210">
        <f t="shared" si="7"/>
        <v>-1.3374485596707801</v>
      </c>
    </row>
    <row r="25" spans="2:11" x14ac:dyDescent="0.25">
      <c r="B25" s="217" t="s">
        <v>96</v>
      </c>
      <c r="C25" s="1"/>
      <c r="D25" s="181">
        <f>SUM(D11,D15,D22,D24)</f>
        <v>1996</v>
      </c>
      <c r="E25" s="181">
        <f t="shared" ref="E25:F25" si="8">SUM(E11,E15,E22,E24)</f>
        <v>-3493</v>
      </c>
      <c r="F25" s="195">
        <f t="shared" si="8"/>
        <v>-310</v>
      </c>
      <c r="G25" s="209">
        <f t="shared" si="7"/>
        <v>-602.33333333333337</v>
      </c>
      <c r="H25" s="209">
        <f t="shared" si="7"/>
        <v>-1468.4444444444443</v>
      </c>
      <c r="I25" s="209">
        <f t="shared" si="7"/>
        <v>-793.59259259259261</v>
      </c>
      <c r="J25" s="209">
        <f t="shared" si="7"/>
        <v>-954.79012345679018</v>
      </c>
      <c r="K25" s="210">
        <f t="shared" si="7"/>
        <v>-1072.2757201646091</v>
      </c>
    </row>
    <row r="26" spans="2:11" x14ac:dyDescent="0.25">
      <c r="B26" s="217" t="s">
        <v>97</v>
      </c>
      <c r="C26" s="1"/>
      <c r="D26" s="181">
        <f>'Raw financials'!B66</f>
        <v>2584</v>
      </c>
      <c r="E26" s="181">
        <f>'Raw financials'!C66</f>
        <v>4579</v>
      </c>
      <c r="F26" s="195">
        <f>'Raw financials'!D66</f>
        <v>1085</v>
      </c>
      <c r="G26" s="209">
        <f t="shared" si="7"/>
        <v>2749.3333333333335</v>
      </c>
      <c r="H26" s="209">
        <f t="shared" si="7"/>
        <v>2804.4444444444448</v>
      </c>
      <c r="I26" s="209">
        <f t="shared" si="7"/>
        <v>2212.9259259259261</v>
      </c>
      <c r="J26" s="209">
        <f t="shared" si="7"/>
        <v>2588.9012345679016</v>
      </c>
      <c r="K26" s="210">
        <f t="shared" si="7"/>
        <v>2535.4238683127573</v>
      </c>
    </row>
    <row r="27" spans="2:11" x14ac:dyDescent="0.25">
      <c r="B27" s="217" t="s">
        <v>98</v>
      </c>
      <c r="C27" s="1"/>
      <c r="D27" s="181">
        <f>SUM(D25,D26)</f>
        <v>4580</v>
      </c>
      <c r="E27" s="181">
        <f t="shared" ref="E27:F27" si="9">SUM(E25,E26)</f>
        <v>1086</v>
      </c>
      <c r="F27" s="195">
        <f t="shared" si="9"/>
        <v>775</v>
      </c>
      <c r="G27" s="209">
        <f t="shared" si="7"/>
        <v>2147</v>
      </c>
      <c r="H27" s="209">
        <f t="shared" si="7"/>
        <v>1336</v>
      </c>
      <c r="I27" s="209">
        <f t="shared" si="7"/>
        <v>1419.3333333333333</v>
      </c>
      <c r="J27" s="209">
        <f t="shared" si="7"/>
        <v>1634.1111111111111</v>
      </c>
      <c r="K27" s="210">
        <f t="shared" si="7"/>
        <v>1463.148148148148</v>
      </c>
    </row>
    <row r="28" spans="2:11" x14ac:dyDescent="0.25">
      <c r="B28" s="93" t="s">
        <v>99</v>
      </c>
      <c r="C28" s="1"/>
      <c r="D28" s="181"/>
      <c r="E28" s="181"/>
      <c r="F28" s="195"/>
      <c r="G28" s="209"/>
      <c r="H28" s="209"/>
      <c r="I28" s="209"/>
      <c r="J28" s="209"/>
      <c r="K28" s="210"/>
    </row>
    <row r="29" spans="2:11" x14ac:dyDescent="0.25">
      <c r="B29" s="217" t="s">
        <v>100</v>
      </c>
      <c r="C29" s="1"/>
      <c r="D29" s="181">
        <v>1287</v>
      </c>
      <c r="E29" s="181">
        <v>1523</v>
      </c>
      <c r="F29" s="195">
        <v>1555</v>
      </c>
      <c r="G29" s="209">
        <f>AVERAGE(D29:F29)</f>
        <v>1455</v>
      </c>
      <c r="H29" s="209">
        <f>AVERAGE(E29:G29)</f>
        <v>1511</v>
      </c>
      <c r="I29" s="209">
        <f>AVERAGE(F29:H29)</f>
        <v>1507</v>
      </c>
      <c r="J29" s="209">
        <f>AVERAGE(G29:I29)</f>
        <v>1491</v>
      </c>
      <c r="K29" s="210">
        <f>AVERAGE(H29:J29)</f>
        <v>1503</v>
      </c>
    </row>
    <row r="30" spans="2:11" x14ac:dyDescent="0.25">
      <c r="B30" s="6"/>
      <c r="C30" s="7"/>
      <c r="D30" s="233"/>
      <c r="E30" s="233"/>
      <c r="F30" s="234"/>
      <c r="G30" s="233"/>
      <c r="H30" s="233"/>
      <c r="I30" s="233"/>
      <c r="J30" s="233"/>
      <c r="K30" s="235"/>
    </row>
    <row r="31" spans="2:11" x14ac:dyDescent="0.25">
      <c r="D31" s="219"/>
      <c r="E31" s="219"/>
      <c r="F31" s="219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198E4-D820-4EDF-B22F-2120E0E02078}">
  <dimension ref="B1:M52"/>
  <sheetViews>
    <sheetView tabSelected="1" workbookViewId="0"/>
  </sheetViews>
  <sheetFormatPr defaultRowHeight="15" x14ac:dyDescent="0.25"/>
  <cols>
    <col min="1" max="1" width="2" customWidth="1"/>
    <col min="2" max="2" width="31.7109375" bestFit="1" customWidth="1"/>
    <col min="3" max="3" width="5.5703125" bestFit="1" customWidth="1"/>
    <col min="9" max="9" width="13.28515625" bestFit="1" customWidth="1"/>
  </cols>
  <sheetData>
    <row r="1" spans="2:11" x14ac:dyDescent="0.25">
      <c r="B1" s="92"/>
      <c r="C1" s="14"/>
      <c r="D1" s="14"/>
      <c r="E1" s="14"/>
      <c r="F1" s="14"/>
      <c r="G1" s="14"/>
      <c r="H1" s="14"/>
      <c r="I1" s="14"/>
      <c r="J1" s="14"/>
      <c r="K1" s="15"/>
    </row>
    <row r="2" spans="2:11" x14ac:dyDescent="0.25">
      <c r="B2" s="92"/>
      <c r="C2" s="14"/>
      <c r="D2" s="14"/>
      <c r="E2" s="14"/>
      <c r="F2" s="14"/>
      <c r="G2" s="14"/>
      <c r="H2" s="14"/>
      <c r="I2" s="14"/>
      <c r="J2" s="14"/>
      <c r="K2" s="15"/>
    </row>
    <row r="3" spans="2:11" ht="15.75" thickBot="1" x14ac:dyDescent="0.3">
      <c r="B3" s="10" t="s">
        <v>0</v>
      </c>
      <c r="C3" s="11"/>
      <c r="D3" s="11"/>
      <c r="E3" s="11"/>
      <c r="F3" s="11"/>
      <c r="G3" s="11"/>
      <c r="H3" s="11"/>
      <c r="I3" s="11"/>
      <c r="J3" s="11"/>
      <c r="K3" s="12"/>
    </row>
    <row r="4" spans="2:11" x14ac:dyDescent="0.25">
      <c r="B4" s="93" t="s">
        <v>1</v>
      </c>
      <c r="C4" s="1"/>
      <c r="D4" s="1"/>
      <c r="E4" s="1"/>
      <c r="F4" s="1"/>
      <c r="G4" s="1"/>
      <c r="H4" s="1"/>
      <c r="I4" s="1"/>
      <c r="J4" s="1"/>
      <c r="K4" s="16"/>
    </row>
    <row r="5" spans="2:11" ht="15.75" thickBot="1" x14ac:dyDescent="0.3">
      <c r="B5" s="164" t="s">
        <v>175</v>
      </c>
      <c r="C5" s="9"/>
      <c r="D5" s="9"/>
      <c r="E5" s="9"/>
      <c r="F5" s="9"/>
      <c r="G5" s="9"/>
      <c r="H5" s="9"/>
      <c r="I5" s="9"/>
      <c r="J5" s="9"/>
      <c r="K5" s="13"/>
    </row>
    <row r="6" spans="2:11" x14ac:dyDescent="0.25">
      <c r="B6" s="90"/>
      <c r="C6" s="1"/>
      <c r="D6" s="1"/>
      <c r="E6" s="1"/>
      <c r="F6" s="1"/>
      <c r="G6" s="1">
        <v>1</v>
      </c>
      <c r="H6" s="1">
        <v>2</v>
      </c>
      <c r="I6" s="1">
        <v>3</v>
      </c>
      <c r="J6" s="1">
        <v>4</v>
      </c>
      <c r="K6" s="160">
        <v>5</v>
      </c>
    </row>
    <row r="7" spans="2:11" x14ac:dyDescent="0.25">
      <c r="B7" s="94" t="s">
        <v>58</v>
      </c>
      <c r="C7" s="14"/>
      <c r="D7" s="14"/>
      <c r="E7" s="14"/>
      <c r="F7" s="14"/>
      <c r="G7" s="77" t="s">
        <v>55</v>
      </c>
      <c r="H7" s="78"/>
      <c r="I7" s="78"/>
      <c r="J7" s="78"/>
      <c r="K7" s="79"/>
    </row>
    <row r="8" spans="2:11" x14ac:dyDescent="0.25">
      <c r="B8" s="97" t="s">
        <v>2</v>
      </c>
      <c r="C8" s="95" t="s">
        <v>3</v>
      </c>
      <c r="D8" s="72">
        <f>E8-1</f>
        <v>2023</v>
      </c>
      <c r="E8" s="73">
        <f>F8-1</f>
        <v>2024</v>
      </c>
      <c r="F8" s="74">
        <v>2025</v>
      </c>
      <c r="G8" s="75">
        <f>F8+1</f>
        <v>2026</v>
      </c>
      <c r="H8" s="75">
        <f>G8+1</f>
        <v>2027</v>
      </c>
      <c r="I8" s="75">
        <f>H8+1</f>
        <v>2028</v>
      </c>
      <c r="J8" s="75">
        <f>I8+1</f>
        <v>2029</v>
      </c>
      <c r="K8" s="76">
        <f>J8+1</f>
        <v>2030</v>
      </c>
    </row>
    <row r="9" spans="2:11" x14ac:dyDescent="0.25">
      <c r="B9" s="100" t="s">
        <v>5</v>
      </c>
      <c r="C9" s="69" t="s">
        <v>4</v>
      </c>
      <c r="D9" s="178">
        <f>'Income Statement'!D10</f>
        <v>25494</v>
      </c>
      <c r="E9" s="178">
        <f>'Income Statement'!E10</f>
        <v>25920</v>
      </c>
      <c r="F9" s="220">
        <f>'Income Statement'!F10</f>
        <v>26885</v>
      </c>
      <c r="G9" s="178">
        <f>'Income Statement'!G10</f>
        <v>27557.124999999996</v>
      </c>
      <c r="H9" s="178">
        <f>'Income Statement'!H10</f>
        <v>28246.053124999995</v>
      </c>
      <c r="I9" s="178">
        <f>'Income Statement'!I10</f>
        <v>28952.204453124992</v>
      </c>
      <c r="J9" s="178">
        <f>'Income Statement'!J10</f>
        <v>29676.009564453114</v>
      </c>
      <c r="K9" s="188">
        <f>'Income Statement'!K10</f>
        <v>30417.909803564438</v>
      </c>
    </row>
    <row r="10" spans="2:11" x14ac:dyDescent="0.25">
      <c r="B10" s="99" t="s">
        <v>60</v>
      </c>
      <c r="C10" s="21"/>
      <c r="D10" s="70">
        <f>'Income Statement'!D27</f>
        <v>0.1</v>
      </c>
      <c r="E10" s="70">
        <f>'Income Statement'!E27</f>
        <v>1.670981407389974E-2</v>
      </c>
      <c r="F10" s="132">
        <f>'Income Statement'!F27</f>
        <v>3.7229938271604937E-2</v>
      </c>
      <c r="G10" s="70">
        <f>'Income Statement'!G27</f>
        <v>2.5000000000000001E-2</v>
      </c>
      <c r="H10" s="70">
        <f>'Income Statement'!H27</f>
        <v>2.5000000000000001E-2</v>
      </c>
      <c r="I10" s="70">
        <f>'Income Statement'!I27</f>
        <v>2.5000000000000001E-2</v>
      </c>
      <c r="J10" s="70">
        <f>'Income Statement'!J27</f>
        <v>2.5000000000000001E-2</v>
      </c>
      <c r="K10" s="86">
        <f>'Income Statement'!K27</f>
        <v>2.5000000000000001E-2</v>
      </c>
    </row>
    <row r="11" spans="2:11" x14ac:dyDescent="0.25">
      <c r="B11" s="100"/>
      <c r="C11" s="22"/>
      <c r="D11" s="63"/>
      <c r="E11" s="63"/>
      <c r="F11" s="133"/>
      <c r="G11" s="83"/>
      <c r="H11" s="83"/>
      <c r="I11" s="83"/>
      <c r="J11" s="83"/>
      <c r="K11" s="85"/>
    </row>
    <row r="12" spans="2:11" x14ac:dyDescent="0.25">
      <c r="B12" s="100" t="s">
        <v>11</v>
      </c>
      <c r="C12" s="21"/>
      <c r="D12" s="178">
        <f>'Income Statement'!D22</f>
        <v>11647</v>
      </c>
      <c r="E12" s="178">
        <f>'Income Statement'!E22</f>
        <v>11712</v>
      </c>
      <c r="F12" s="220">
        <f>'Income Statement'!F22</f>
        <v>12392</v>
      </c>
      <c r="G12" s="178">
        <f>'Income Statement'!G22</f>
        <v>12581.027322805076</v>
      </c>
      <c r="H12" s="178">
        <f>'Income Statement'!H22</f>
        <v>12892.643139304077</v>
      </c>
      <c r="I12" s="178">
        <f>'Income Statement'!I22</f>
        <v>13259.243224602918</v>
      </c>
      <c r="J12" s="178">
        <f>'Income Statement'!J22</f>
        <v>13561.482626748988</v>
      </c>
      <c r="K12" s="188">
        <f>'Income Statement'!K22</f>
        <v>13904.992877817762</v>
      </c>
    </row>
    <row r="13" spans="2:11" x14ac:dyDescent="0.25">
      <c r="B13" s="99" t="s">
        <v>61</v>
      </c>
      <c r="C13" s="21"/>
      <c r="D13" s="70">
        <f t="shared" ref="D13:K13" si="0">D12/D9</f>
        <v>0.45685259276692552</v>
      </c>
      <c r="E13" s="70">
        <f t="shared" si="0"/>
        <v>0.45185185185185184</v>
      </c>
      <c r="F13" s="132">
        <f t="shared" si="0"/>
        <v>0.46092616700762506</v>
      </c>
      <c r="G13" s="70">
        <f t="shared" si="0"/>
        <v>0.45654353720880086</v>
      </c>
      <c r="H13" s="70">
        <f t="shared" si="0"/>
        <v>0.45644051868942587</v>
      </c>
      <c r="I13" s="70">
        <f t="shared" si="0"/>
        <v>0.45797007430195064</v>
      </c>
      <c r="J13" s="70">
        <f t="shared" si="0"/>
        <v>0.45698471006672581</v>
      </c>
      <c r="K13" s="86">
        <f t="shared" si="0"/>
        <v>0.45713176768603425</v>
      </c>
    </row>
    <row r="14" spans="2:11" x14ac:dyDescent="0.25">
      <c r="B14" s="100"/>
      <c r="C14" s="23"/>
      <c r="D14" s="63"/>
      <c r="E14" s="63"/>
      <c r="F14" s="133"/>
      <c r="G14" s="83"/>
      <c r="H14" s="83"/>
      <c r="I14" s="83"/>
      <c r="J14" s="83"/>
      <c r="K14" s="85"/>
    </row>
    <row r="15" spans="2:11" x14ac:dyDescent="0.25">
      <c r="B15" s="100" t="s">
        <v>62</v>
      </c>
      <c r="C15" s="21"/>
      <c r="D15" s="178">
        <f>'Income Statement'!D19</f>
        <v>-2053</v>
      </c>
      <c r="E15" s="178">
        <f>'Income Statement'!E19</f>
        <v>-2121</v>
      </c>
      <c r="F15" s="220">
        <f>'Income Statement'!F19</f>
        <v>-2334</v>
      </c>
      <c r="G15" s="178">
        <f>'Income Statement'!G19</f>
        <v>-2313.4342294964786</v>
      </c>
      <c r="H15" s="178">
        <f>'Income Statement'!H19</f>
        <v>-2363.9540925531619</v>
      </c>
      <c r="I15" s="178">
        <f>'Income Statement'!I19</f>
        <v>-2432.7633748410217</v>
      </c>
      <c r="J15" s="178">
        <f>'Income Statement'!J19</f>
        <v>-2489.5102463005055</v>
      </c>
      <c r="K15" s="188">
        <f>'Income Statement'!K19</f>
        <v>-2551.1293091281045</v>
      </c>
    </row>
    <row r="16" spans="2:11" x14ac:dyDescent="0.25">
      <c r="B16" s="99" t="s">
        <v>63</v>
      </c>
      <c r="C16" s="21"/>
      <c r="D16" s="70">
        <f t="shared" ref="D16:K16" si="1">D15/D12</f>
        <v>-0.1762685670129647</v>
      </c>
      <c r="E16" s="70">
        <f t="shared" si="1"/>
        <v>-0.18109631147540983</v>
      </c>
      <c r="F16" s="132">
        <f t="shared" si="1"/>
        <v>-0.18834732085216269</v>
      </c>
      <c r="G16" s="70">
        <f t="shared" si="1"/>
        <v>-0.18388277603554823</v>
      </c>
      <c r="H16" s="70">
        <f t="shared" si="1"/>
        <v>-0.18335682350087634</v>
      </c>
      <c r="I16" s="70">
        <f t="shared" si="1"/>
        <v>-0.18347678925799907</v>
      </c>
      <c r="J16" s="70">
        <f t="shared" si="1"/>
        <v>-0.1835721295981412</v>
      </c>
      <c r="K16" s="86">
        <f t="shared" si="1"/>
        <v>-0.18346858078567219</v>
      </c>
    </row>
    <row r="17" spans="2:11" x14ac:dyDescent="0.25">
      <c r="B17" s="100"/>
      <c r="C17" s="24"/>
      <c r="D17" s="63"/>
      <c r="E17" s="63"/>
      <c r="F17" s="133"/>
      <c r="G17" s="83"/>
      <c r="H17" s="83"/>
      <c r="I17" s="83"/>
      <c r="J17" s="83"/>
      <c r="K17" s="85"/>
    </row>
    <row r="18" spans="2:11" x14ac:dyDescent="0.25">
      <c r="B18" s="223" t="s">
        <v>64</v>
      </c>
      <c r="C18" s="104"/>
      <c r="D18" s="178">
        <f t="shared" ref="D18:K18" si="2">D12-D15</f>
        <v>13700</v>
      </c>
      <c r="E18" s="178">
        <f t="shared" si="2"/>
        <v>13833</v>
      </c>
      <c r="F18" s="220">
        <f t="shared" si="2"/>
        <v>14726</v>
      </c>
      <c r="G18" s="178">
        <f t="shared" si="2"/>
        <v>14894.461552301555</v>
      </c>
      <c r="H18" s="178">
        <f t="shared" si="2"/>
        <v>15256.597231857239</v>
      </c>
      <c r="I18" s="178">
        <f t="shared" si="2"/>
        <v>15692.006599443939</v>
      </c>
      <c r="J18" s="178">
        <f t="shared" si="2"/>
        <v>16050.992873049494</v>
      </c>
      <c r="K18" s="188">
        <f t="shared" si="2"/>
        <v>16456.122186945868</v>
      </c>
    </row>
    <row r="19" spans="2:11" x14ac:dyDescent="0.25">
      <c r="B19" s="100"/>
      <c r="C19" s="23"/>
      <c r="D19" s="63"/>
      <c r="E19" s="63"/>
      <c r="F19" s="133"/>
      <c r="G19" s="83"/>
      <c r="H19" s="83"/>
      <c r="I19" s="83"/>
      <c r="J19" s="83"/>
      <c r="K19" s="85"/>
    </row>
    <row r="20" spans="2:11" x14ac:dyDescent="0.25">
      <c r="B20" s="100" t="s">
        <v>65</v>
      </c>
      <c r="C20" s="23"/>
      <c r="D20" s="178">
        <f>'Cash flows'!D8</f>
        <v>1978</v>
      </c>
      <c r="E20" s="178">
        <f>'Cash flows'!E8</f>
        <v>2097</v>
      </c>
      <c r="F20" s="220">
        <f>'Cash flows'!F8</f>
        <v>2199</v>
      </c>
      <c r="G20" s="178">
        <f>'Cash flows'!G8</f>
        <v>2207.164799482367</v>
      </c>
      <c r="H20" s="178">
        <f>'Cash flows'!H8</f>
        <v>2290.5899725944264</v>
      </c>
      <c r="I20" s="178">
        <f>'Cash flows'!I8</f>
        <v>2376.8069263624116</v>
      </c>
      <c r="J20" s="178">
        <f>'Cash flows'!J8</f>
        <v>2465.9031090859248</v>
      </c>
      <c r="K20" s="188">
        <f>'Cash flows'!K8</f>
        <v>2557.9685966166371</v>
      </c>
    </row>
    <row r="21" spans="2:11" x14ac:dyDescent="0.25">
      <c r="B21" s="228" t="s">
        <v>59</v>
      </c>
      <c r="C21" s="20"/>
      <c r="D21" s="105">
        <f t="shared" ref="D21:K21" si="3">D20/D9</f>
        <v>7.7586883188201144E-2</v>
      </c>
      <c r="E21" s="105">
        <f t="shared" si="3"/>
        <v>8.0902777777777782E-2</v>
      </c>
      <c r="F21" s="134">
        <f t="shared" si="3"/>
        <v>8.1792821275804353E-2</v>
      </c>
      <c r="G21" s="105">
        <f t="shared" si="3"/>
        <v>8.0094160747261098E-2</v>
      </c>
      <c r="H21" s="105">
        <f t="shared" si="3"/>
        <v>8.1094160747261099E-2</v>
      </c>
      <c r="I21" s="105">
        <f t="shared" si="3"/>
        <v>8.20941607472611E-2</v>
      </c>
      <c r="J21" s="105">
        <f t="shared" si="3"/>
        <v>8.30941607472611E-2</v>
      </c>
      <c r="K21" s="119">
        <f t="shared" si="3"/>
        <v>8.4094160747261101E-2</v>
      </c>
    </row>
    <row r="22" spans="2:11" x14ac:dyDescent="0.25">
      <c r="B22" s="222"/>
      <c r="C22" s="20"/>
      <c r="D22" s="1"/>
      <c r="E22" s="1"/>
      <c r="F22" s="135"/>
      <c r="G22" s="81"/>
      <c r="H22" s="81"/>
      <c r="I22" s="81"/>
      <c r="J22" s="81"/>
      <c r="K22" s="82"/>
    </row>
    <row r="23" spans="2:11" x14ac:dyDescent="0.25">
      <c r="B23" s="100" t="s">
        <v>66</v>
      </c>
      <c r="C23" s="23"/>
      <c r="D23" s="178">
        <f>'Cash flows'!D13</f>
        <v>-2357</v>
      </c>
      <c r="E23" s="178">
        <f>'Cash flows'!E13</f>
        <v>-2775</v>
      </c>
      <c r="F23" s="220">
        <f>'Cash flows'!F13</f>
        <v>-3365</v>
      </c>
      <c r="G23" s="178">
        <f>'Cash flows'!G13</f>
        <v>-3700</v>
      </c>
      <c r="H23" s="178">
        <f>'Cash flows'!H13</f>
        <v>-4000</v>
      </c>
      <c r="I23" s="178">
        <f>'Cash flows'!I13</f>
        <v>-4300</v>
      </c>
      <c r="J23" s="178">
        <f>'Cash flows'!J13</f>
        <v>-4600</v>
      </c>
      <c r="K23" s="188">
        <f>'Cash flows'!K13</f>
        <v>-4900</v>
      </c>
    </row>
    <row r="24" spans="2:11" x14ac:dyDescent="0.25">
      <c r="B24" s="217" t="s">
        <v>59</v>
      </c>
      <c r="C24" s="1"/>
      <c r="D24" s="1"/>
      <c r="E24" s="1"/>
      <c r="F24" s="135"/>
      <c r="G24" s="70">
        <f>G23/G9</f>
        <v>-0.13426654631061841</v>
      </c>
      <c r="H24" s="70">
        <f>H23/H9</f>
        <v>-0.14161270540342089</v>
      </c>
      <c r="I24" s="70">
        <f>I23/I9</f>
        <v>-0.14852064225236825</v>
      </c>
      <c r="J24" s="70">
        <f>J23/J9</f>
        <v>-0.15500736343979446</v>
      </c>
      <c r="K24" s="86">
        <f>K23/K9</f>
        <v>-0.1610893066500515</v>
      </c>
    </row>
    <row r="25" spans="2:11" x14ac:dyDescent="0.25">
      <c r="B25" s="224"/>
      <c r="C25" s="96"/>
      <c r="D25" s="72">
        <v>2023</v>
      </c>
      <c r="E25" s="73">
        <v>2024</v>
      </c>
      <c r="F25" s="136">
        <v>2025</v>
      </c>
      <c r="G25" s="75">
        <v>2026</v>
      </c>
      <c r="H25" s="75">
        <v>2027</v>
      </c>
      <c r="I25" s="75">
        <v>2028</v>
      </c>
      <c r="J25" s="75">
        <v>2029</v>
      </c>
      <c r="K25" s="76">
        <v>2030</v>
      </c>
    </row>
    <row r="26" spans="2:11" x14ac:dyDescent="0.25">
      <c r="B26" s="100" t="s">
        <v>101</v>
      </c>
      <c r="C26" s="68"/>
      <c r="D26" s="178">
        <v>1438</v>
      </c>
      <c r="E26" s="178">
        <v>1410</v>
      </c>
      <c r="F26" s="220">
        <v>1378</v>
      </c>
      <c r="G26" s="178">
        <f>AVERAGE(D26:F26)</f>
        <v>1408.6666666666667</v>
      </c>
      <c r="H26" s="178">
        <f>AVERAGE(E26:G26)</f>
        <v>1398.8888888888889</v>
      </c>
      <c r="I26" s="178">
        <f>AVERAGE(F26:H26)</f>
        <v>1395.1851851851852</v>
      </c>
      <c r="J26" s="178">
        <f>AVERAGE(G26:I26)</f>
        <v>1400.9135802469136</v>
      </c>
      <c r="K26" s="188">
        <f>AVERAGE(H26:J26)</f>
        <v>1398.3292181069958</v>
      </c>
    </row>
    <row r="27" spans="2:11" x14ac:dyDescent="0.25">
      <c r="B27" s="225"/>
      <c r="C27" s="1"/>
      <c r="D27" s="70"/>
      <c r="E27" s="70"/>
      <c r="F27" s="132"/>
      <c r="G27" s="70"/>
      <c r="H27" s="70"/>
      <c r="I27" s="70"/>
      <c r="J27" s="70"/>
      <c r="K27" s="86"/>
    </row>
    <row r="28" spans="2:11" x14ac:dyDescent="0.25">
      <c r="B28" s="100" t="s">
        <v>102</v>
      </c>
      <c r="C28" s="68"/>
      <c r="D28" s="178">
        <v>0</v>
      </c>
      <c r="E28" s="178">
        <f t="shared" ref="E28:K28" si="4">E26-D26</f>
        <v>-28</v>
      </c>
      <c r="F28" s="220">
        <f t="shared" si="4"/>
        <v>-32</v>
      </c>
      <c r="G28" s="178">
        <f t="shared" si="4"/>
        <v>30.666666666666742</v>
      </c>
      <c r="H28" s="178">
        <f t="shared" si="4"/>
        <v>-9.7777777777778283</v>
      </c>
      <c r="I28" s="178">
        <f t="shared" si="4"/>
        <v>-3.7037037037036953</v>
      </c>
      <c r="J28" s="178">
        <f t="shared" si="4"/>
        <v>5.7283950617284063</v>
      </c>
      <c r="K28" s="188">
        <f t="shared" si="4"/>
        <v>-2.5843621399178573</v>
      </c>
    </row>
    <row r="29" spans="2:11" x14ac:dyDescent="0.25">
      <c r="B29" s="225"/>
      <c r="C29" s="1"/>
      <c r="D29" s="70"/>
      <c r="E29" s="70"/>
      <c r="F29" s="132"/>
      <c r="G29" s="70"/>
      <c r="H29" s="70"/>
      <c r="I29" s="70"/>
      <c r="J29" s="70"/>
      <c r="K29" s="86"/>
    </row>
    <row r="30" spans="2:11" x14ac:dyDescent="0.25">
      <c r="B30" s="221" t="s">
        <v>103</v>
      </c>
      <c r="C30" s="1"/>
      <c r="D30" s="70"/>
      <c r="E30" s="70"/>
      <c r="F30" s="71"/>
      <c r="G30" s="178">
        <f>G18+G20+G23+G28</f>
        <v>13432.293018450588</v>
      </c>
      <c r="H30" s="178">
        <f>H18+H20++H23+H28</f>
        <v>13537.409426673887</v>
      </c>
      <c r="I30" s="178">
        <f>I18+I20++I23+I28</f>
        <v>13765.109822102648</v>
      </c>
      <c r="J30" s="178">
        <f>J18+J20++J23+J28</f>
        <v>13922.624377197146</v>
      </c>
      <c r="K30" s="188">
        <f>K18+K20++K23+K28</f>
        <v>14111.506421422586</v>
      </c>
    </row>
    <row r="31" spans="2:11" x14ac:dyDescent="0.25">
      <c r="B31" s="226" t="s">
        <v>192</v>
      </c>
      <c r="C31" s="7"/>
      <c r="D31" s="88"/>
      <c r="E31" s="88"/>
      <c r="F31" s="89"/>
      <c r="G31" s="229">
        <f>1/((1+$E$51)^G6)</f>
        <v>0.94166341613517179</v>
      </c>
      <c r="H31" s="229">
        <f t="shared" ref="H31:K31" si="5">1/((1+$E$51)^H6)</f>
        <v>0.88672998928736169</v>
      </c>
      <c r="I31" s="229">
        <f t="shared" si="5"/>
        <v>0.83500119090184133</v>
      </c>
      <c r="J31" s="229">
        <f t="shared" si="5"/>
        <v>0.78629007390156469</v>
      </c>
      <c r="K31" s="238">
        <f t="shared" si="5"/>
        <v>0.74042059706332408</v>
      </c>
    </row>
    <row r="32" spans="2:11" ht="15.75" thickBot="1" x14ac:dyDescent="0.3">
      <c r="B32" s="227" t="s">
        <v>104</v>
      </c>
      <c r="C32" s="11"/>
      <c r="D32" s="165"/>
      <c r="E32" s="165"/>
      <c r="F32" s="241"/>
      <c r="G32" s="239">
        <f t="shared" ref="G32:J32" si="6">G30*G31</f>
        <v>12648.698930282799</v>
      </c>
      <c r="H32" s="239">
        <f t="shared" si="6"/>
        <v>12004.026915893164</v>
      </c>
      <c r="I32" s="239">
        <f t="shared" si="6"/>
        <v>11493.883094350344</v>
      </c>
      <c r="J32" s="239">
        <f t="shared" si="6"/>
        <v>10947.221350450071</v>
      </c>
      <c r="K32" s="240">
        <f>K30*K31</f>
        <v>10448.450010012642</v>
      </c>
    </row>
    <row r="33" spans="2:13" x14ac:dyDescent="0.25">
      <c r="B33" s="1"/>
      <c r="C33" s="1"/>
      <c r="D33" s="1"/>
      <c r="E33" s="1"/>
      <c r="F33" s="70"/>
      <c r="G33" s="70"/>
      <c r="H33" s="70"/>
      <c r="I33" s="81"/>
      <c r="J33" s="81"/>
      <c r="K33" s="81"/>
      <c r="L33" s="81"/>
      <c r="M33" s="81"/>
    </row>
    <row r="34" spans="2:13" x14ac:dyDescent="0.25">
      <c r="B34" s="153" t="s">
        <v>151</v>
      </c>
      <c r="C34" s="78"/>
      <c r="D34" s="78"/>
      <c r="E34" s="79"/>
      <c r="F34" s="156" t="s">
        <v>164</v>
      </c>
      <c r="G34" s="157"/>
      <c r="H34" s="157"/>
      <c r="I34" s="159"/>
    </row>
    <row r="35" spans="2:13" x14ac:dyDescent="0.25">
      <c r="B35" s="250" t="s">
        <v>152</v>
      </c>
      <c r="C35" s="138"/>
      <c r="D35" s="138"/>
      <c r="E35" s="144"/>
      <c r="F35" s="158" t="s">
        <v>162</v>
      </c>
      <c r="G35" s="20"/>
      <c r="H35" s="20"/>
      <c r="I35" s="145"/>
    </row>
    <row r="36" spans="2:13" x14ac:dyDescent="0.25">
      <c r="B36" s="142"/>
      <c r="C36" s="18"/>
      <c r="D36" s="18"/>
      <c r="E36" s="145"/>
      <c r="F36" s="252" t="str">
        <f>"FY"&amp;TEXT(K8,"0")&amp;"E Unlevered Free Cash Flow"</f>
        <v>FY2030E Unlevered Free Cash Flow</v>
      </c>
      <c r="G36" s="20"/>
      <c r="H36" s="20"/>
      <c r="I36" s="253">
        <f>K30</f>
        <v>14111.506421422586</v>
      </c>
    </row>
    <row r="37" spans="2:13" x14ac:dyDescent="0.25">
      <c r="B37" s="99" t="s">
        <v>153</v>
      </c>
      <c r="C37" s="18"/>
      <c r="D37" s="18"/>
      <c r="E37" s="146">
        <v>5.0200000000000002E-2</v>
      </c>
      <c r="F37" s="252" t="s">
        <v>163</v>
      </c>
      <c r="G37" s="20"/>
      <c r="H37" s="20"/>
      <c r="I37" s="154">
        <v>0.03</v>
      </c>
    </row>
    <row r="38" spans="2:13" x14ac:dyDescent="0.25">
      <c r="B38" s="99" t="s">
        <v>154</v>
      </c>
      <c r="C38" s="18"/>
      <c r="D38" s="18"/>
      <c r="E38" s="147">
        <v>0.41</v>
      </c>
      <c r="F38" s="252" t="s">
        <v>164</v>
      </c>
      <c r="G38" s="242"/>
      <c r="H38" s="242"/>
      <c r="I38" s="254">
        <f>(I36 * (1 + I37)) / (E51 - I37)</f>
        <v>454916.84013595391</v>
      </c>
    </row>
    <row r="39" spans="2:13" x14ac:dyDescent="0.25">
      <c r="B39" s="99" t="s">
        <v>155</v>
      </c>
      <c r="C39" s="18"/>
      <c r="D39" s="18"/>
      <c r="E39" s="148">
        <v>4.4499999999999998E-2</v>
      </c>
      <c r="F39" s="218" t="s">
        <v>165</v>
      </c>
      <c r="G39" s="101"/>
      <c r="H39" s="101"/>
      <c r="I39" s="210">
        <f>I38*K31</f>
        <v>336829.79838762374</v>
      </c>
    </row>
    <row r="40" spans="2:13" ht="18" x14ac:dyDescent="0.35">
      <c r="B40" s="251" t="s">
        <v>198</v>
      </c>
      <c r="C40" s="139"/>
      <c r="D40" s="140"/>
      <c r="E40" s="149">
        <f>E37+E38*E39</f>
        <v>6.8445000000000006E-2</v>
      </c>
      <c r="F40" s="6"/>
      <c r="G40" s="7"/>
      <c r="H40" s="7"/>
      <c r="I40" s="8"/>
    </row>
    <row r="41" spans="2:13" x14ac:dyDescent="0.25">
      <c r="B41" s="142"/>
      <c r="C41" s="18"/>
      <c r="D41" s="18"/>
      <c r="E41" s="145"/>
      <c r="F41" s="129"/>
      <c r="G41" s="129"/>
      <c r="H41" s="129"/>
      <c r="I41" s="177"/>
    </row>
    <row r="42" spans="2:13" x14ac:dyDescent="0.25">
      <c r="B42" s="99" t="s">
        <v>156</v>
      </c>
      <c r="C42" s="18"/>
      <c r="D42" s="18"/>
      <c r="E42" s="150">
        <v>4.3999999999999997E-2</v>
      </c>
      <c r="F42" s="153" t="s">
        <v>174</v>
      </c>
      <c r="G42" s="78"/>
      <c r="H42" s="78"/>
      <c r="I42" s="79"/>
    </row>
    <row r="43" spans="2:13" x14ac:dyDescent="0.25">
      <c r="B43" s="99" t="s">
        <v>157</v>
      </c>
      <c r="C43" s="18"/>
      <c r="D43" s="18"/>
      <c r="E43" s="150">
        <v>0.21</v>
      </c>
      <c r="F43" s="158" t="s">
        <v>166</v>
      </c>
      <c r="G43" s="155"/>
      <c r="H43" s="155"/>
      <c r="I43" s="16"/>
    </row>
    <row r="44" spans="2:13" ht="18" x14ac:dyDescent="0.35">
      <c r="B44" s="251" t="s">
        <v>197</v>
      </c>
      <c r="C44" s="139"/>
      <c r="D44" s="139"/>
      <c r="E44" s="149">
        <f>E42*(1-E43)</f>
        <v>3.4759999999999999E-2</v>
      </c>
      <c r="F44" s="243" t="str">
        <f>"NPV of UFCF "&amp;TEXT(G8,"0")&amp;" - "&amp;TEXT(K8,"0")</f>
        <v>NPV of UFCF 2026 - 2030</v>
      </c>
      <c r="G44" s="155"/>
      <c r="H44" s="1"/>
      <c r="I44" s="255">
        <f>SUM(G32:K32)</f>
        <v>57542.280300989019</v>
      </c>
    </row>
    <row r="45" spans="2:13" x14ac:dyDescent="0.25">
      <c r="B45" s="142"/>
      <c r="C45" s="18"/>
      <c r="D45" s="18"/>
      <c r="E45" s="145"/>
      <c r="F45" s="243" t="s">
        <v>167</v>
      </c>
      <c r="G45" s="155"/>
      <c r="H45" s="1"/>
      <c r="I45" s="255">
        <f>I39</f>
        <v>336829.79838762374</v>
      </c>
      <c r="J45" s="129"/>
      <c r="K45" s="129"/>
      <c r="L45" s="129"/>
      <c r="M45" s="129"/>
    </row>
    <row r="46" spans="2:13" x14ac:dyDescent="0.25">
      <c r="B46" s="249" t="s">
        <v>158</v>
      </c>
      <c r="C46" s="18"/>
      <c r="D46" s="18"/>
      <c r="E46" s="145"/>
      <c r="F46" s="244" t="s">
        <v>168</v>
      </c>
      <c r="G46" s="155"/>
      <c r="H46" s="1"/>
      <c r="I46" s="256">
        <f>SUM(I44:I45)</f>
        <v>394372.07868861279</v>
      </c>
      <c r="J46" s="129"/>
      <c r="K46" s="129"/>
      <c r="L46" s="129"/>
      <c r="M46" s="129"/>
    </row>
    <row r="47" spans="2:13" x14ac:dyDescent="0.25">
      <c r="B47" s="99" t="s">
        <v>159</v>
      </c>
      <c r="C47" s="18"/>
      <c r="D47" s="141">
        <f>'Balance sheet'!F18</f>
        <v>39973</v>
      </c>
      <c r="E47" s="151">
        <f>D47/D49</f>
        <v>0.19279891959677808</v>
      </c>
      <c r="F47" s="99" t="s">
        <v>169</v>
      </c>
      <c r="G47" s="20"/>
      <c r="H47" s="1"/>
      <c r="I47" s="255">
        <f>-'Balance sheet'!F18</f>
        <v>-39973</v>
      </c>
      <c r="J47" s="129"/>
      <c r="K47" s="129"/>
      <c r="L47" s="129"/>
      <c r="M47" s="129"/>
    </row>
    <row r="48" spans="2:13" x14ac:dyDescent="0.25">
      <c r="B48" s="99" t="s">
        <v>160</v>
      </c>
      <c r="C48" s="18"/>
      <c r="D48" s="141">
        <v>167357</v>
      </c>
      <c r="E48" s="151">
        <f>D48/D49</f>
        <v>0.80720108040322192</v>
      </c>
      <c r="F48" s="99" t="s">
        <v>170</v>
      </c>
      <c r="G48" s="20"/>
      <c r="H48" s="1"/>
      <c r="I48" s="257">
        <f>'Balance sheet'!F7</f>
        <v>775</v>
      </c>
      <c r="J48" s="129"/>
      <c r="K48" s="129"/>
      <c r="L48" s="129"/>
      <c r="M48" s="129"/>
    </row>
    <row r="49" spans="2:13" x14ac:dyDescent="0.25">
      <c r="B49" s="245" t="s">
        <v>161</v>
      </c>
      <c r="C49" s="246"/>
      <c r="D49" s="247">
        <f>SUM(D47:D48)</f>
        <v>207330</v>
      </c>
      <c r="E49" s="248">
        <v>1</v>
      </c>
      <c r="F49" s="100" t="s">
        <v>171</v>
      </c>
      <c r="G49" s="23"/>
      <c r="H49" s="1"/>
      <c r="I49" s="255">
        <f>SUM(I46:I48)</f>
        <v>355174.07868861279</v>
      </c>
      <c r="J49" s="129"/>
      <c r="K49" s="129"/>
      <c r="L49" s="129"/>
      <c r="M49" s="129"/>
    </row>
    <row r="50" spans="2:13" x14ac:dyDescent="0.25">
      <c r="B50" s="142"/>
      <c r="C50" s="18"/>
      <c r="D50" s="18"/>
      <c r="E50" s="145"/>
      <c r="F50" s="99" t="s">
        <v>172</v>
      </c>
      <c r="G50" s="20"/>
      <c r="H50" s="1"/>
      <c r="I50" s="258">
        <f>716.4</f>
        <v>716.4</v>
      </c>
      <c r="J50" s="129"/>
      <c r="K50" s="129"/>
      <c r="L50" s="129"/>
      <c r="M50" s="129"/>
    </row>
    <row r="51" spans="2:13" ht="15.75" thickBot="1" x14ac:dyDescent="0.3">
      <c r="B51" s="143" t="s">
        <v>152</v>
      </c>
      <c r="C51" s="137"/>
      <c r="D51" s="137"/>
      <c r="E51" s="152">
        <f>E47*E44+E48*E40</f>
        <v>6.1950568393382532E-2</v>
      </c>
      <c r="F51" s="100" t="s">
        <v>173</v>
      </c>
      <c r="G51" s="23"/>
      <c r="H51" s="1"/>
      <c r="I51" s="256">
        <f>I49/I50</f>
        <v>495.77621257483639</v>
      </c>
      <c r="J51" s="129"/>
      <c r="K51" s="129"/>
      <c r="L51" s="129"/>
      <c r="M51" s="129"/>
    </row>
    <row r="52" spans="2:13" ht="15.75" thickTop="1" x14ac:dyDescent="0.25">
      <c r="B52" s="161"/>
      <c r="C52" s="162"/>
      <c r="D52" s="162"/>
      <c r="E52" s="163"/>
      <c r="F52" s="6"/>
      <c r="G52" s="7"/>
      <c r="H52" s="7"/>
      <c r="I52" s="8"/>
      <c r="J52" s="129"/>
      <c r="K52" s="129"/>
      <c r="L52" s="129"/>
      <c r="M52" s="129"/>
    </row>
  </sheetData>
  <conditionalFormatting sqref="I44:I46 I49 I51">
    <cfRule type="expression" dxfId="1" priority="1">
      <formula>I44=""</formula>
    </cfRule>
  </conditionalFormatting>
  <conditionalFormatting sqref="E40 E44 E51">
    <cfRule type="expression" dxfId="0" priority="2">
      <formula>E40=""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 financials</vt:lpstr>
      <vt:lpstr>Income Statement</vt:lpstr>
      <vt:lpstr>Balance sheet</vt:lpstr>
      <vt:lpstr>Cash flows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EDGE</dc:creator>
  <cp:lastModifiedBy>azeez lawal</cp:lastModifiedBy>
  <cp:lastPrinted>2026-09-17T21:11:26Z</cp:lastPrinted>
  <dcterms:created xsi:type="dcterms:W3CDTF">2026-09-17T08:55:22Z</dcterms:created>
  <dcterms:modified xsi:type="dcterms:W3CDTF">2026-09-27T14:01:29Z</dcterms:modified>
</cp:coreProperties>
</file>